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012" codeName="{51196F13-6AD0-C1B8-E2B4-A1F9AE17003E}"/>
  <workbookPr codeName="ThisWorkbook" defaultThemeVersion="124226"/>
  <mc:AlternateContent xmlns:mc="http://schemas.openxmlformats.org/markup-compatibility/2006">
    <mc:Choice Requires="x15">
      <x15ac:absPath xmlns:x15ac="http://schemas.microsoft.com/office/spreadsheetml/2010/11/ac" url="/Users/nakanoken/Desktop/超勤/"/>
    </mc:Choice>
  </mc:AlternateContent>
  <xr:revisionPtr revIDLastSave="0" documentId="8_{CCF7543D-DE36-3844-A081-2A502AA1BD70}" xr6:coauthVersionLast="36" xr6:coauthVersionMax="36" xr10:uidLastSave="{00000000-0000-0000-0000-000000000000}"/>
  <bookViews>
    <workbookView xWindow="800" yWindow="620" windowWidth="23260" windowHeight="12460" activeTab="2" xr2:uid="{00000000-000D-0000-FFFF-FFFF00000000}"/>
  </bookViews>
  <sheets>
    <sheet name="使用方法" sheetId="1" state="hidden" r:id="rId1"/>
    <sheet name="補助簿" sheetId="3" state="hidden" r:id="rId2"/>
    <sheet name="命令簿" sheetId="18" r:id="rId3"/>
    <sheet name="雇用形態オプション" sheetId="17" state="hidden" r:id="rId4"/>
    <sheet name="勤務形態オプション" sheetId="16" state="hidden" r:id="rId5"/>
    <sheet name="処理用" sheetId="19" state="hidden" r:id="rId6"/>
    <sheet name="入力時の注意" sheetId="20" r:id="rId7"/>
  </sheets>
  <functionGroups builtInGroupCount="19"/>
  <definedNames>
    <definedName name="_xlnm.Print_Area" localSheetId="6">入力時の注意!$A$1:$K$169</definedName>
    <definedName name="_xlnm.Print_Area" localSheetId="1">補助簿!$B$1:$AA$101</definedName>
    <definedName name="_xlnm.Print_Area" localSheetId="2">命令簿!$A$1:$Z$117</definedName>
    <definedName name="_xlnm.Print_Titles" localSheetId="1">補助簿!$1:$7</definedName>
    <definedName name="_xlnm.Print_Titles" localSheetId="2">命令簿!$2:$8</definedName>
    <definedName name="Z_3C5E1D3F_5FA3_4647_8E92_8A4101241118_.wvu.Cols" localSheetId="1" hidden="1">補助簿!#REF!,補助簿!$AA:$AH</definedName>
    <definedName name="Z_3C5E1D3F_5FA3_4647_8E92_8A4101241118_.wvu.PrintArea" localSheetId="1" hidden="1">補助簿!$B$1:$Y$79</definedName>
    <definedName name="Z_3C5E1D3F_5FA3_4647_8E92_8A4101241118_.wvu.PrintTitles" localSheetId="1" hidden="1">補助簿!$1:$7</definedName>
    <definedName name="Z_3C5E1D3F_5FA3_4647_8E92_8A4101241118_.wvu.Rows" localSheetId="1" hidden="1">補助簿!$8:$8</definedName>
    <definedName name="開始">補助簿!$U23:$U1048573</definedName>
    <definedName name="基本給開始" localSheetId="1">補助簿!#REF!</definedName>
    <definedName name="基本給開始">#REF!</definedName>
    <definedName name="基本給終了" localSheetId="1">補助簿!#REF!</definedName>
    <definedName name="基本給終了">#REF!</definedName>
    <definedName name="基本時給開始">#REF!</definedName>
    <definedName name="基本時給終了">#REF!</definedName>
    <definedName name="休日">補助簿!$H23:$H1048573</definedName>
    <definedName name="残業割増開始">#REF!</definedName>
    <definedName name="残業割増終了">#REF!</definedName>
    <definedName name="終了">補助簿!$W23:$W1048573</definedName>
    <definedName name="深夜割増開始" localSheetId="1">補助簿!#REF!</definedName>
    <definedName name="深夜割増開始">#REF!</definedName>
    <definedName name="深夜割増終了" localSheetId="1">補助簿!#REF!</definedName>
    <definedName name="深夜割増終了">#REF!</definedName>
    <definedName name="早朝割増開始" localSheetId="1">補助簿!#REF!</definedName>
    <definedName name="早朝割増開始">#REF!</definedName>
    <definedName name="早朝割増終了" localSheetId="1">補助簿!#REF!</definedName>
    <definedName name="早朝割増終了">#REF!</definedName>
    <definedName name="超勤割増開始" localSheetId="1">補助簿!#REF!</definedName>
    <definedName name="超勤割増開始">#REF!</definedName>
    <definedName name="超勤割増終了" localSheetId="1">補助簿!#REF!</definedName>
    <definedName name="超勤割増終了">#REF!</definedName>
  </definedNames>
  <calcPr calcId="191029"/>
  <customWorkbookViews>
    <customWorkbookView name="兵庫県 - 個人用ビュー" guid="{3C5E1D3F-5FA3-4647-8E92-8A4101241118}" mergeInterval="0" personalView="1" maximized="1" windowWidth="1276" windowHeight="611"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ARRAYTEXT_WF"/>
        <xcalcf:feature name="microsoft.com:CNMTM"/>
        <xcalcf:feature name="microsoft.com:LAMBDA_WF"/>
        <xcalcf:feature name="microsoft.com:LET_WF"/>
      </xcalcf:calcFeatures>
    </ext>
  </extLst>
</workbook>
</file>

<file path=xl/calcChain.xml><?xml version="1.0" encoding="utf-8"?>
<calcChain xmlns="http://schemas.openxmlformats.org/spreadsheetml/2006/main">
  <c r="C10" i="18" l="1"/>
  <c r="W10" i="18" l="1"/>
  <c r="W13" i="18"/>
  <c r="W16" i="18"/>
  <c r="W19" i="18"/>
  <c r="W22" i="18"/>
  <c r="W25" i="18"/>
  <c r="W28" i="18"/>
  <c r="W31" i="18"/>
  <c r="W34" i="18"/>
  <c r="W37" i="18"/>
  <c r="W40" i="18"/>
  <c r="W43" i="18"/>
  <c r="W46" i="18"/>
  <c r="W49" i="18"/>
  <c r="W52" i="18"/>
  <c r="W55" i="18"/>
  <c r="W58" i="18"/>
  <c r="W61" i="18"/>
  <c r="W64" i="18"/>
  <c r="W67" i="18"/>
  <c r="W70" i="18"/>
  <c r="W73" i="18"/>
  <c r="W76" i="18"/>
  <c r="W79" i="18"/>
  <c r="W82" i="18"/>
  <c r="W85" i="18"/>
  <c r="W88" i="18"/>
  <c r="W91" i="18"/>
  <c r="W94" i="18"/>
  <c r="W97" i="18"/>
  <c r="W100" i="18"/>
  <c r="V10" i="18"/>
  <c r="V13" i="18"/>
  <c r="V16" i="18"/>
  <c r="V19" i="18"/>
  <c r="V22" i="18"/>
  <c r="V25" i="18"/>
  <c r="V28" i="18"/>
  <c r="V31" i="18"/>
  <c r="V34" i="18"/>
  <c r="V37" i="18"/>
  <c r="V40" i="18"/>
  <c r="V43" i="18"/>
  <c r="V46" i="18"/>
  <c r="V49" i="18"/>
  <c r="V52" i="18"/>
  <c r="V55" i="18"/>
  <c r="V58" i="18"/>
  <c r="V61" i="18"/>
  <c r="V64" i="18"/>
  <c r="V67" i="18"/>
  <c r="V70" i="18"/>
  <c r="V73" i="18"/>
  <c r="V76" i="18"/>
  <c r="V79" i="18"/>
  <c r="V82" i="18"/>
  <c r="V85" i="18"/>
  <c r="V88" i="18"/>
  <c r="V91" i="18"/>
  <c r="V94" i="18"/>
  <c r="V97" i="18"/>
  <c r="V100" i="18"/>
  <c r="C100" i="18"/>
  <c r="C101" i="18" s="1"/>
  <c r="C97" i="18"/>
  <c r="C98" i="18" s="1"/>
  <c r="C94" i="18"/>
  <c r="C95" i="18" s="1"/>
  <c r="C91" i="18"/>
  <c r="C92" i="18" s="1"/>
  <c r="C88" i="18"/>
  <c r="C89" i="18" s="1"/>
  <c r="C85" i="18"/>
  <c r="C86" i="18" s="1"/>
  <c r="C82" i="18"/>
  <c r="C83" i="18" s="1"/>
  <c r="C79" i="18"/>
  <c r="C80" i="18" s="1"/>
  <c r="C76" i="18"/>
  <c r="C77" i="18" s="1"/>
  <c r="C73" i="18"/>
  <c r="C74" i="18" s="1"/>
  <c r="C70" i="18"/>
  <c r="C71" i="18" s="1"/>
  <c r="C67" i="18"/>
  <c r="C68" i="18" s="1"/>
  <c r="C64" i="18"/>
  <c r="C65" i="18" s="1"/>
  <c r="C61" i="18"/>
  <c r="C62" i="18" s="1"/>
  <c r="C58" i="18"/>
  <c r="C59" i="18" s="1"/>
  <c r="C55" i="18"/>
  <c r="C56" i="18" s="1"/>
  <c r="C52" i="18"/>
  <c r="C53" i="18" s="1"/>
  <c r="C49" i="18"/>
  <c r="C50" i="18" s="1"/>
  <c r="C46" i="18"/>
  <c r="C47" i="18" s="1"/>
  <c r="C43" i="18"/>
  <c r="C44" i="18" s="1"/>
  <c r="C40" i="18"/>
  <c r="C41" i="18" s="1"/>
  <c r="C37" i="18"/>
  <c r="C38" i="18" s="1"/>
  <c r="C34" i="18"/>
  <c r="C35" i="18" s="1"/>
  <c r="C31" i="18"/>
  <c r="C32" i="18" s="1"/>
  <c r="C28" i="18"/>
  <c r="C29" i="18" s="1"/>
  <c r="C25" i="18"/>
  <c r="C26" i="18" s="1"/>
  <c r="C22" i="18"/>
  <c r="C23" i="18" s="1"/>
  <c r="C19" i="18"/>
  <c r="C20" i="18" s="1"/>
  <c r="C16" i="18"/>
  <c r="C17" i="18" s="1"/>
  <c r="C13" i="18"/>
  <c r="C14" i="18" s="1"/>
  <c r="C11" i="18"/>
  <c r="L9" i="19"/>
  <c r="N9" i="19" s="1"/>
  <c r="K9" i="19"/>
  <c r="B9" i="19"/>
  <c r="E9" i="19" s="1"/>
  <c r="L10" i="19"/>
  <c r="K10" i="19"/>
  <c r="L11" i="19"/>
  <c r="N11" i="19" s="1"/>
  <c r="K11" i="19"/>
  <c r="L12" i="19"/>
  <c r="K12" i="19"/>
  <c r="B12" i="19"/>
  <c r="C12" i="19" s="1"/>
  <c r="L13" i="19"/>
  <c r="N13" i="19" s="1"/>
  <c r="K13" i="19"/>
  <c r="L14" i="19"/>
  <c r="N14" i="19" s="1"/>
  <c r="K14" i="19"/>
  <c r="L15" i="19"/>
  <c r="K15" i="19"/>
  <c r="B15" i="19"/>
  <c r="C15" i="19" s="1"/>
  <c r="L16" i="19"/>
  <c r="N16" i="19" s="1"/>
  <c r="K16" i="19"/>
  <c r="L17" i="19"/>
  <c r="N17" i="19" s="1"/>
  <c r="K17" i="19"/>
  <c r="L18" i="19"/>
  <c r="N18" i="19" s="1"/>
  <c r="K18" i="19"/>
  <c r="B18" i="19"/>
  <c r="E18" i="19" s="1"/>
  <c r="L19" i="19"/>
  <c r="N19" i="19" s="1"/>
  <c r="K19" i="19"/>
  <c r="L20" i="19"/>
  <c r="N20" i="19" s="1"/>
  <c r="K20" i="19"/>
  <c r="L21" i="19"/>
  <c r="N21" i="19" s="1"/>
  <c r="K21" i="19"/>
  <c r="B21" i="19"/>
  <c r="D21" i="19" s="1"/>
  <c r="L22" i="19"/>
  <c r="N22" i="19" s="1"/>
  <c r="K22" i="19"/>
  <c r="L23" i="19"/>
  <c r="K23" i="19"/>
  <c r="L24" i="19"/>
  <c r="N24" i="19" s="1"/>
  <c r="K24" i="19"/>
  <c r="B24" i="19"/>
  <c r="D24" i="19" s="1"/>
  <c r="L25" i="19"/>
  <c r="K25" i="19"/>
  <c r="L26" i="19"/>
  <c r="N26" i="19" s="1"/>
  <c r="K26" i="19"/>
  <c r="L27" i="19"/>
  <c r="K27" i="19"/>
  <c r="B27" i="19"/>
  <c r="C27" i="19" s="1"/>
  <c r="L28" i="19"/>
  <c r="M28" i="19" s="1"/>
  <c r="K28" i="19"/>
  <c r="L29" i="19"/>
  <c r="N29" i="19" s="1"/>
  <c r="K29" i="19"/>
  <c r="L30" i="19"/>
  <c r="N30" i="19" s="1"/>
  <c r="K30" i="19"/>
  <c r="B30" i="19"/>
  <c r="E30" i="19" s="1"/>
  <c r="L31" i="19"/>
  <c r="N31" i="19" s="1"/>
  <c r="K31" i="19"/>
  <c r="L32" i="19"/>
  <c r="N32" i="19" s="1"/>
  <c r="K32" i="19"/>
  <c r="L33" i="19"/>
  <c r="N33" i="19" s="1"/>
  <c r="K33" i="19"/>
  <c r="B33" i="19"/>
  <c r="E33" i="19" s="1"/>
  <c r="L34" i="19"/>
  <c r="N34" i="19" s="1"/>
  <c r="K34" i="19"/>
  <c r="L35" i="19"/>
  <c r="N35" i="19" s="1"/>
  <c r="K35" i="19"/>
  <c r="L36" i="19"/>
  <c r="N36" i="19" s="1"/>
  <c r="K36" i="19"/>
  <c r="B36" i="19"/>
  <c r="C36" i="19" s="1"/>
  <c r="L37" i="19"/>
  <c r="N37" i="19" s="1"/>
  <c r="K37" i="19"/>
  <c r="L38" i="19"/>
  <c r="K38" i="19"/>
  <c r="O38" i="19" s="1"/>
  <c r="L39" i="19"/>
  <c r="N39" i="19" s="1"/>
  <c r="K39" i="19"/>
  <c r="B39" i="19"/>
  <c r="E39" i="19" s="1"/>
  <c r="D39" i="19"/>
  <c r="L40" i="19"/>
  <c r="K40" i="19"/>
  <c r="L41" i="19"/>
  <c r="N41" i="19" s="1"/>
  <c r="K41" i="19"/>
  <c r="L42" i="19"/>
  <c r="K42" i="19"/>
  <c r="B42" i="19"/>
  <c r="C42" i="19" s="1"/>
  <c r="L43" i="19"/>
  <c r="N43" i="19" s="1"/>
  <c r="K43" i="19"/>
  <c r="L44" i="19"/>
  <c r="N44" i="19" s="1"/>
  <c r="K44" i="19"/>
  <c r="L45" i="19"/>
  <c r="M45" i="19" s="1"/>
  <c r="K45" i="19"/>
  <c r="B45" i="19"/>
  <c r="C45" i="19" s="1"/>
  <c r="L46" i="19"/>
  <c r="N46" i="19" s="1"/>
  <c r="M46" i="19"/>
  <c r="K46" i="19"/>
  <c r="L47" i="19"/>
  <c r="M47" i="19" s="1"/>
  <c r="K47" i="19"/>
  <c r="L48" i="19"/>
  <c r="N48" i="19" s="1"/>
  <c r="K48" i="19"/>
  <c r="B48" i="19"/>
  <c r="D48" i="19" s="1"/>
  <c r="L49" i="19"/>
  <c r="N49" i="19" s="1"/>
  <c r="K49" i="19"/>
  <c r="L50" i="19"/>
  <c r="K50" i="19"/>
  <c r="L51" i="19"/>
  <c r="K51" i="19"/>
  <c r="B51" i="19"/>
  <c r="C51" i="19" s="1"/>
  <c r="L52" i="19"/>
  <c r="K52" i="19"/>
  <c r="L53" i="19"/>
  <c r="N53" i="19" s="1"/>
  <c r="K53" i="19"/>
  <c r="L54" i="19"/>
  <c r="K54" i="19"/>
  <c r="B54" i="19"/>
  <c r="C54" i="19" s="1"/>
  <c r="L55" i="19"/>
  <c r="N55" i="19" s="1"/>
  <c r="K55" i="19"/>
  <c r="L56" i="19"/>
  <c r="N56" i="19" s="1"/>
  <c r="K56" i="19"/>
  <c r="L57" i="19"/>
  <c r="N57" i="19" s="1"/>
  <c r="K57" i="19"/>
  <c r="B57" i="19"/>
  <c r="D57" i="19" s="1"/>
  <c r="L58" i="19"/>
  <c r="N58" i="19" s="1"/>
  <c r="K58" i="19"/>
  <c r="L59" i="19"/>
  <c r="N59" i="19" s="1"/>
  <c r="K59" i="19"/>
  <c r="L60" i="19"/>
  <c r="N60" i="19" s="1"/>
  <c r="K60" i="19"/>
  <c r="B60" i="19"/>
  <c r="E60" i="19" s="1"/>
  <c r="L61" i="19"/>
  <c r="N61" i="19" s="1"/>
  <c r="K61" i="19"/>
  <c r="L62" i="19"/>
  <c r="M62" i="19" s="1"/>
  <c r="K62" i="19"/>
  <c r="L63" i="19"/>
  <c r="N63" i="19" s="1"/>
  <c r="K63" i="19"/>
  <c r="B63" i="19"/>
  <c r="D63" i="19" s="1"/>
  <c r="L64" i="19"/>
  <c r="M64" i="19" s="1"/>
  <c r="K64" i="19"/>
  <c r="L65" i="19"/>
  <c r="N65" i="19" s="1"/>
  <c r="K65" i="19"/>
  <c r="L66" i="19"/>
  <c r="N66" i="19" s="1"/>
  <c r="K66" i="19"/>
  <c r="B66" i="19"/>
  <c r="E66" i="19" s="1"/>
  <c r="L67" i="19"/>
  <c r="N67" i="19" s="1"/>
  <c r="K67" i="19"/>
  <c r="L68" i="19"/>
  <c r="K68" i="19"/>
  <c r="L69" i="19"/>
  <c r="N69" i="19" s="1"/>
  <c r="K69" i="19"/>
  <c r="B69" i="19"/>
  <c r="D69" i="19" s="1"/>
  <c r="L70" i="19"/>
  <c r="K70" i="19"/>
  <c r="L71" i="19"/>
  <c r="N71" i="19" s="1"/>
  <c r="K71" i="19"/>
  <c r="L72" i="19"/>
  <c r="N72" i="19" s="1"/>
  <c r="K72" i="19"/>
  <c r="B72" i="19"/>
  <c r="B73" i="19" s="1"/>
  <c r="D73" i="19" s="1"/>
  <c r="L73" i="19"/>
  <c r="N73" i="19" s="1"/>
  <c r="K73" i="19"/>
  <c r="L74" i="19"/>
  <c r="N74" i="19" s="1"/>
  <c r="K74" i="19"/>
  <c r="L75" i="19"/>
  <c r="N75" i="19" s="1"/>
  <c r="K75" i="19"/>
  <c r="B75" i="19"/>
  <c r="D75" i="19" s="1"/>
  <c r="L76" i="19"/>
  <c r="M76" i="19" s="1"/>
  <c r="K76" i="19"/>
  <c r="L77" i="19"/>
  <c r="K77" i="19"/>
  <c r="L78" i="19"/>
  <c r="K78" i="19"/>
  <c r="B78" i="19"/>
  <c r="L79" i="19"/>
  <c r="K79" i="19"/>
  <c r="L80" i="19"/>
  <c r="N80" i="19" s="1"/>
  <c r="K80" i="19"/>
  <c r="L81" i="19"/>
  <c r="N81" i="19" s="1"/>
  <c r="K81" i="19"/>
  <c r="B81" i="19"/>
  <c r="D81" i="19" s="1"/>
  <c r="L82" i="19"/>
  <c r="N82" i="19" s="1"/>
  <c r="K82" i="19"/>
  <c r="L83" i="19"/>
  <c r="N83" i="19" s="1"/>
  <c r="K83" i="19"/>
  <c r="L84" i="19"/>
  <c r="M84" i="19" s="1"/>
  <c r="K84" i="19"/>
  <c r="B84" i="19"/>
  <c r="D84" i="19" s="1"/>
  <c r="L85" i="19"/>
  <c r="N85" i="19" s="1"/>
  <c r="K85" i="19"/>
  <c r="L86" i="19"/>
  <c r="M86" i="19" s="1"/>
  <c r="K86" i="19"/>
  <c r="L87" i="19"/>
  <c r="M87" i="19" s="1"/>
  <c r="K87" i="19"/>
  <c r="B87" i="19"/>
  <c r="D87" i="19" s="1"/>
  <c r="L88" i="19"/>
  <c r="N88" i="19" s="1"/>
  <c r="K88" i="19"/>
  <c r="L89" i="19"/>
  <c r="K89" i="19"/>
  <c r="L90" i="19"/>
  <c r="K90" i="19"/>
  <c r="B90" i="19"/>
  <c r="L91" i="19"/>
  <c r="K91" i="19"/>
  <c r="L92" i="19"/>
  <c r="K92" i="19"/>
  <c r="L93" i="19"/>
  <c r="K93" i="19"/>
  <c r="B93" i="19"/>
  <c r="C93" i="19" s="1"/>
  <c r="L94" i="19"/>
  <c r="N94" i="19" s="1"/>
  <c r="K94" i="19"/>
  <c r="L95" i="19"/>
  <c r="N95" i="19" s="1"/>
  <c r="K95" i="19"/>
  <c r="L96" i="19"/>
  <c r="N96" i="19" s="1"/>
  <c r="K96" i="19"/>
  <c r="B96" i="19"/>
  <c r="D96" i="19"/>
  <c r="L97" i="19"/>
  <c r="K97" i="19"/>
  <c r="L98" i="19"/>
  <c r="N98" i="19" s="1"/>
  <c r="K98" i="19"/>
  <c r="L99" i="19"/>
  <c r="K99" i="19"/>
  <c r="B99" i="19"/>
  <c r="E99" i="19" s="1"/>
  <c r="L100" i="19"/>
  <c r="N100" i="19" s="1"/>
  <c r="K100" i="19"/>
  <c r="L101" i="19"/>
  <c r="K101" i="19"/>
  <c r="Y112" i="18"/>
  <c r="X112" i="18"/>
  <c r="O41" i="19"/>
  <c r="P9" i="3"/>
  <c r="V9" i="3" s="1"/>
  <c r="R9" i="3"/>
  <c r="X9" i="3" s="1"/>
  <c r="O10" i="3"/>
  <c r="U10" i="3" s="1"/>
  <c r="I9" i="19"/>
  <c r="H9" i="19"/>
  <c r="G9" i="19"/>
  <c r="F9" i="19"/>
  <c r="F10" i="19" s="1"/>
  <c r="I10" i="19"/>
  <c r="H10" i="19"/>
  <c r="G10" i="19"/>
  <c r="I11" i="19"/>
  <c r="H11" i="19"/>
  <c r="G11" i="19"/>
  <c r="F11" i="19"/>
  <c r="I12" i="19"/>
  <c r="I14" i="19" s="1"/>
  <c r="H12" i="19"/>
  <c r="H13" i="19" s="1"/>
  <c r="G12" i="19"/>
  <c r="G13" i="19" s="1"/>
  <c r="F12" i="19"/>
  <c r="F13" i="19" s="1"/>
  <c r="I13" i="19"/>
  <c r="M9" i="3"/>
  <c r="S9" i="3" s="1"/>
  <c r="O9" i="3"/>
  <c r="U9" i="3" s="1"/>
  <c r="P10" i="3"/>
  <c r="V10" i="3" s="1"/>
  <c r="R10" i="3"/>
  <c r="X10" i="3" s="1"/>
  <c r="M10" i="3"/>
  <c r="S10" i="3" s="1"/>
  <c r="O11" i="3"/>
  <c r="U11" i="3" s="1"/>
  <c r="P11" i="3"/>
  <c r="V11" i="3" s="1"/>
  <c r="R11" i="3"/>
  <c r="X11" i="3" s="1"/>
  <c r="M11" i="3"/>
  <c r="S11" i="3" s="1"/>
  <c r="O12" i="3"/>
  <c r="U12" i="3" s="1"/>
  <c r="P12" i="3"/>
  <c r="V12" i="3" s="1"/>
  <c r="R12" i="3"/>
  <c r="X12" i="3" s="1"/>
  <c r="M12" i="3"/>
  <c r="S12" i="3" s="1"/>
  <c r="O13" i="3"/>
  <c r="U13" i="3" s="1"/>
  <c r="P13" i="3"/>
  <c r="V13" i="3" s="1"/>
  <c r="R13" i="3"/>
  <c r="X13" i="3" s="1"/>
  <c r="M13" i="3"/>
  <c r="S13" i="3" s="1"/>
  <c r="O14" i="3"/>
  <c r="U14" i="3" s="1"/>
  <c r="P14" i="3"/>
  <c r="V14" i="3" s="1"/>
  <c r="R14" i="3"/>
  <c r="X14" i="3" s="1"/>
  <c r="M14" i="3"/>
  <c r="S14" i="3" s="1"/>
  <c r="O15" i="3"/>
  <c r="U15" i="3" s="1"/>
  <c r="P15" i="3"/>
  <c r="V15" i="3" s="1"/>
  <c r="R15" i="3"/>
  <c r="X15" i="3" s="1"/>
  <c r="M15" i="3"/>
  <c r="S15" i="3" s="1"/>
  <c r="I15" i="19"/>
  <c r="H15" i="19"/>
  <c r="H17" i="19" s="1"/>
  <c r="G15" i="19"/>
  <c r="G17" i="19" s="1"/>
  <c r="F15" i="19"/>
  <c r="F17" i="19" s="1"/>
  <c r="O16" i="3"/>
  <c r="U16" i="3" s="1"/>
  <c r="P16" i="3"/>
  <c r="V16" i="3" s="1"/>
  <c r="R16" i="3"/>
  <c r="X16" i="3" s="1"/>
  <c r="M16" i="3"/>
  <c r="S16" i="3" s="1"/>
  <c r="I16" i="19"/>
  <c r="H16" i="19"/>
  <c r="F16" i="19"/>
  <c r="O17" i="3"/>
  <c r="U17" i="3" s="1"/>
  <c r="P17" i="3"/>
  <c r="V17" i="3" s="1"/>
  <c r="R17" i="3"/>
  <c r="X17" i="3" s="1"/>
  <c r="M17" i="3"/>
  <c r="S17" i="3" s="1"/>
  <c r="I17" i="19"/>
  <c r="O18" i="3"/>
  <c r="U18" i="3" s="1"/>
  <c r="P18" i="3"/>
  <c r="V18" i="3" s="1"/>
  <c r="R18" i="3"/>
  <c r="X18" i="3" s="1"/>
  <c r="M18" i="3"/>
  <c r="S18" i="3" s="1"/>
  <c r="I18" i="19"/>
  <c r="H18" i="19"/>
  <c r="H20" i="19" s="1"/>
  <c r="G18" i="19"/>
  <c r="G20" i="19" s="1"/>
  <c r="F18" i="19"/>
  <c r="F20" i="19" s="1"/>
  <c r="O19" i="3"/>
  <c r="U19" i="3" s="1"/>
  <c r="P19" i="3"/>
  <c r="V19" i="3" s="1"/>
  <c r="R19" i="3"/>
  <c r="X19" i="3" s="1"/>
  <c r="M19" i="3"/>
  <c r="S19" i="3" s="1"/>
  <c r="I19" i="19"/>
  <c r="H19" i="19"/>
  <c r="F19" i="19"/>
  <c r="O20" i="3"/>
  <c r="U20" i="3" s="1"/>
  <c r="P20" i="3"/>
  <c r="V20" i="3" s="1"/>
  <c r="R20" i="3"/>
  <c r="X20" i="3" s="1"/>
  <c r="M20" i="3"/>
  <c r="S20" i="3" s="1"/>
  <c r="I20" i="19"/>
  <c r="O21" i="3"/>
  <c r="U21" i="3" s="1"/>
  <c r="P21" i="3"/>
  <c r="V21" i="3" s="1"/>
  <c r="R21" i="3"/>
  <c r="X21" i="3" s="1"/>
  <c r="M21" i="3"/>
  <c r="S21" i="3" s="1"/>
  <c r="I21" i="19"/>
  <c r="H21" i="19"/>
  <c r="H23" i="19" s="1"/>
  <c r="G21" i="19"/>
  <c r="G23" i="19" s="1"/>
  <c r="F21" i="19"/>
  <c r="F23" i="19" s="1"/>
  <c r="O22" i="3"/>
  <c r="U22" i="3" s="1"/>
  <c r="P22" i="3"/>
  <c r="V22" i="3" s="1"/>
  <c r="R22" i="3"/>
  <c r="X22" i="3" s="1"/>
  <c r="M22" i="3"/>
  <c r="S22" i="3" s="1"/>
  <c r="I22" i="19"/>
  <c r="H22" i="19"/>
  <c r="F22" i="19"/>
  <c r="O23" i="3"/>
  <c r="U23" i="3" s="1"/>
  <c r="P23" i="3"/>
  <c r="V23" i="3" s="1"/>
  <c r="R23" i="3"/>
  <c r="X23" i="3" s="1"/>
  <c r="M23" i="3"/>
  <c r="S23" i="3" s="1"/>
  <c r="I23" i="19"/>
  <c r="O24" i="3"/>
  <c r="U24" i="3" s="1"/>
  <c r="P24" i="3"/>
  <c r="V24" i="3" s="1"/>
  <c r="R24" i="3"/>
  <c r="X24" i="3" s="1"/>
  <c r="M24" i="3"/>
  <c r="S24" i="3" s="1"/>
  <c r="I24" i="19"/>
  <c r="H24" i="19"/>
  <c r="H26" i="19" s="1"/>
  <c r="G24" i="19"/>
  <c r="G26" i="19" s="1"/>
  <c r="F24" i="19"/>
  <c r="F26" i="19" s="1"/>
  <c r="O25" i="3"/>
  <c r="U25" i="3" s="1"/>
  <c r="P25" i="3"/>
  <c r="V25" i="3" s="1"/>
  <c r="R25" i="3"/>
  <c r="X25" i="3" s="1"/>
  <c r="M25" i="3"/>
  <c r="S25" i="3" s="1"/>
  <c r="I25" i="19"/>
  <c r="H25" i="19"/>
  <c r="F25" i="19"/>
  <c r="O26" i="3"/>
  <c r="U26" i="3" s="1"/>
  <c r="P26" i="3"/>
  <c r="V26" i="3" s="1"/>
  <c r="R26" i="3"/>
  <c r="X26" i="3" s="1"/>
  <c r="M26" i="3"/>
  <c r="S26" i="3" s="1"/>
  <c r="I26" i="19"/>
  <c r="O27" i="3"/>
  <c r="U27" i="3" s="1"/>
  <c r="P27" i="3"/>
  <c r="V27" i="3" s="1"/>
  <c r="R27" i="3"/>
  <c r="X27" i="3" s="1"/>
  <c r="M27" i="3"/>
  <c r="S27" i="3" s="1"/>
  <c r="I27" i="19"/>
  <c r="H27" i="19"/>
  <c r="H29" i="19" s="1"/>
  <c r="G27" i="19"/>
  <c r="G29" i="19" s="1"/>
  <c r="F27" i="19"/>
  <c r="F29" i="19" s="1"/>
  <c r="O28" i="3"/>
  <c r="U28" i="3" s="1"/>
  <c r="P28" i="3"/>
  <c r="V28" i="3" s="1"/>
  <c r="R28" i="3"/>
  <c r="X28" i="3" s="1"/>
  <c r="M28" i="3"/>
  <c r="S28" i="3" s="1"/>
  <c r="I28" i="19"/>
  <c r="H28" i="19"/>
  <c r="F28" i="19"/>
  <c r="O29" i="3"/>
  <c r="U29" i="3" s="1"/>
  <c r="P29" i="3"/>
  <c r="V29" i="3" s="1"/>
  <c r="R29" i="3"/>
  <c r="X29" i="3" s="1"/>
  <c r="M29" i="3"/>
  <c r="S29" i="3" s="1"/>
  <c r="I29" i="19"/>
  <c r="O30" i="3"/>
  <c r="U30" i="3" s="1"/>
  <c r="P30" i="3"/>
  <c r="V30" i="3" s="1"/>
  <c r="R30" i="3"/>
  <c r="X30" i="3" s="1"/>
  <c r="M30" i="3"/>
  <c r="S30" i="3" s="1"/>
  <c r="I30" i="19"/>
  <c r="H30" i="19"/>
  <c r="H32" i="19" s="1"/>
  <c r="G30" i="19"/>
  <c r="G32" i="19" s="1"/>
  <c r="F30" i="19"/>
  <c r="F32" i="19" s="1"/>
  <c r="O31" i="3"/>
  <c r="U31" i="3" s="1"/>
  <c r="P31" i="3"/>
  <c r="V31" i="3" s="1"/>
  <c r="R31" i="3"/>
  <c r="X31" i="3" s="1"/>
  <c r="M31" i="3"/>
  <c r="S31" i="3" s="1"/>
  <c r="I31" i="19"/>
  <c r="H31" i="19"/>
  <c r="G31" i="19"/>
  <c r="F31" i="19"/>
  <c r="O32" i="3"/>
  <c r="U32" i="3" s="1"/>
  <c r="P32" i="3"/>
  <c r="V32" i="3" s="1"/>
  <c r="R32" i="3"/>
  <c r="X32" i="3" s="1"/>
  <c r="M32" i="3"/>
  <c r="S32" i="3" s="1"/>
  <c r="I32" i="19"/>
  <c r="O33" i="3"/>
  <c r="U33" i="3" s="1"/>
  <c r="P33" i="3"/>
  <c r="V33" i="3" s="1"/>
  <c r="R33" i="3"/>
  <c r="X33" i="3" s="1"/>
  <c r="M33" i="3"/>
  <c r="S33" i="3" s="1"/>
  <c r="I33" i="19"/>
  <c r="H33" i="19"/>
  <c r="H35" i="19" s="1"/>
  <c r="G33" i="19"/>
  <c r="G35" i="19" s="1"/>
  <c r="F33" i="19"/>
  <c r="F35" i="19" s="1"/>
  <c r="O34" i="3"/>
  <c r="U34" i="3" s="1"/>
  <c r="P34" i="3"/>
  <c r="V34" i="3" s="1"/>
  <c r="R34" i="3"/>
  <c r="X34" i="3" s="1"/>
  <c r="M34" i="3"/>
  <c r="S34" i="3" s="1"/>
  <c r="I34" i="19"/>
  <c r="H34" i="19"/>
  <c r="G34" i="19"/>
  <c r="F34" i="19"/>
  <c r="O35" i="3"/>
  <c r="U35" i="3" s="1"/>
  <c r="P35" i="3"/>
  <c r="V35" i="3" s="1"/>
  <c r="R35" i="3"/>
  <c r="X35" i="3" s="1"/>
  <c r="M35" i="3"/>
  <c r="S35" i="3" s="1"/>
  <c r="I35" i="19"/>
  <c r="O36" i="3"/>
  <c r="U36" i="3" s="1"/>
  <c r="P36" i="3"/>
  <c r="V36" i="3" s="1"/>
  <c r="R36" i="3"/>
  <c r="X36" i="3" s="1"/>
  <c r="M36" i="3"/>
  <c r="S36" i="3" s="1"/>
  <c r="I36" i="19"/>
  <c r="H36" i="19"/>
  <c r="H38" i="19" s="1"/>
  <c r="G36" i="19"/>
  <c r="G38" i="19" s="1"/>
  <c r="F36" i="19"/>
  <c r="F38" i="19" s="1"/>
  <c r="O37" i="3"/>
  <c r="U37" i="3" s="1"/>
  <c r="P37" i="3"/>
  <c r="V37" i="3" s="1"/>
  <c r="R37" i="3"/>
  <c r="X37" i="3" s="1"/>
  <c r="M37" i="3"/>
  <c r="S37" i="3" s="1"/>
  <c r="I37" i="19"/>
  <c r="H37" i="19"/>
  <c r="G37" i="19"/>
  <c r="F37" i="19"/>
  <c r="O38" i="3"/>
  <c r="U38" i="3" s="1"/>
  <c r="P38" i="3"/>
  <c r="V38" i="3" s="1"/>
  <c r="R38" i="3"/>
  <c r="X38" i="3" s="1"/>
  <c r="M38" i="3"/>
  <c r="S38" i="3" s="1"/>
  <c r="I38" i="19"/>
  <c r="O39" i="3"/>
  <c r="U39" i="3" s="1"/>
  <c r="P39" i="3"/>
  <c r="V39" i="3" s="1"/>
  <c r="R39" i="3"/>
  <c r="X39" i="3" s="1"/>
  <c r="M39" i="3"/>
  <c r="S39" i="3" s="1"/>
  <c r="I39" i="19"/>
  <c r="H39" i="19"/>
  <c r="H41" i="19" s="1"/>
  <c r="G39" i="19"/>
  <c r="G41" i="19" s="1"/>
  <c r="F39" i="19"/>
  <c r="F41" i="19" s="1"/>
  <c r="O40" i="3"/>
  <c r="U40" i="3" s="1"/>
  <c r="P40" i="3"/>
  <c r="V40" i="3" s="1"/>
  <c r="R40" i="3"/>
  <c r="X40" i="3" s="1"/>
  <c r="M40" i="3"/>
  <c r="S40" i="3" s="1"/>
  <c r="I40" i="19"/>
  <c r="H40" i="19"/>
  <c r="G40" i="19"/>
  <c r="F40" i="19"/>
  <c r="O41" i="3"/>
  <c r="U41" i="3" s="1"/>
  <c r="P41" i="3"/>
  <c r="V41" i="3" s="1"/>
  <c r="R41" i="3"/>
  <c r="X41" i="3" s="1"/>
  <c r="M41" i="3"/>
  <c r="S41" i="3" s="1"/>
  <c r="I41" i="19"/>
  <c r="O42" i="3"/>
  <c r="U42" i="3" s="1"/>
  <c r="P42" i="3"/>
  <c r="V42" i="3" s="1"/>
  <c r="R42" i="3"/>
  <c r="X42" i="3" s="1"/>
  <c r="M42" i="3"/>
  <c r="S42" i="3" s="1"/>
  <c r="I42" i="19"/>
  <c r="H42" i="19"/>
  <c r="H44" i="19" s="1"/>
  <c r="G42" i="19"/>
  <c r="G44" i="19" s="1"/>
  <c r="F42" i="19"/>
  <c r="F44" i="19" s="1"/>
  <c r="O43" i="3"/>
  <c r="U43" i="3" s="1"/>
  <c r="P43" i="3"/>
  <c r="V43" i="3" s="1"/>
  <c r="R43" i="3"/>
  <c r="X43" i="3" s="1"/>
  <c r="M43" i="3"/>
  <c r="S43" i="3" s="1"/>
  <c r="I43" i="19"/>
  <c r="H43" i="19"/>
  <c r="G43" i="19"/>
  <c r="F43" i="19"/>
  <c r="O44" i="3"/>
  <c r="U44" i="3" s="1"/>
  <c r="P44" i="3"/>
  <c r="V44" i="3" s="1"/>
  <c r="R44" i="3"/>
  <c r="X44" i="3" s="1"/>
  <c r="M44" i="3"/>
  <c r="S44" i="3" s="1"/>
  <c r="I44" i="19"/>
  <c r="O45" i="3"/>
  <c r="U45" i="3" s="1"/>
  <c r="P45" i="3"/>
  <c r="V45" i="3" s="1"/>
  <c r="R45" i="3"/>
  <c r="X45" i="3" s="1"/>
  <c r="M45" i="3"/>
  <c r="S45" i="3" s="1"/>
  <c r="I45" i="19"/>
  <c r="H45" i="19"/>
  <c r="G45" i="19"/>
  <c r="G47" i="19" s="1"/>
  <c r="F45" i="19"/>
  <c r="F47" i="19" s="1"/>
  <c r="O46" i="3"/>
  <c r="U46" i="3" s="1"/>
  <c r="P46" i="3"/>
  <c r="V46" i="3" s="1"/>
  <c r="R46" i="3"/>
  <c r="X46" i="3" s="1"/>
  <c r="M46" i="3"/>
  <c r="S46" i="3" s="1"/>
  <c r="I46" i="19"/>
  <c r="H46" i="19"/>
  <c r="G46" i="19"/>
  <c r="F46" i="19"/>
  <c r="O47" i="3"/>
  <c r="U47" i="3" s="1"/>
  <c r="P47" i="3"/>
  <c r="V47" i="3" s="1"/>
  <c r="R47" i="3"/>
  <c r="X47" i="3" s="1"/>
  <c r="M47" i="3"/>
  <c r="S47" i="3" s="1"/>
  <c r="I47" i="19"/>
  <c r="H47" i="19"/>
  <c r="O48" i="3"/>
  <c r="U48" i="3" s="1"/>
  <c r="P48" i="3"/>
  <c r="V48" i="3" s="1"/>
  <c r="R48" i="3"/>
  <c r="X48" i="3" s="1"/>
  <c r="M48" i="3"/>
  <c r="S48" i="3" s="1"/>
  <c r="I48" i="19"/>
  <c r="I49" i="19" s="1"/>
  <c r="H48" i="19"/>
  <c r="H49" i="19" s="1"/>
  <c r="G48" i="19"/>
  <c r="G49" i="19" s="1"/>
  <c r="F48" i="19"/>
  <c r="F49" i="19" s="1"/>
  <c r="O49" i="3"/>
  <c r="U49" i="3" s="1"/>
  <c r="P49" i="3"/>
  <c r="V49" i="3" s="1"/>
  <c r="R49" i="3"/>
  <c r="X49" i="3" s="1"/>
  <c r="M49" i="3"/>
  <c r="S49" i="3" s="1"/>
  <c r="O50" i="3"/>
  <c r="U50" i="3" s="1"/>
  <c r="P50" i="3"/>
  <c r="V50" i="3" s="1"/>
  <c r="R50" i="3"/>
  <c r="X50" i="3" s="1"/>
  <c r="M50" i="3"/>
  <c r="S50" i="3" s="1"/>
  <c r="O51" i="3"/>
  <c r="U51" i="3" s="1"/>
  <c r="P51" i="3"/>
  <c r="V51" i="3" s="1"/>
  <c r="R51" i="3"/>
  <c r="X51" i="3" s="1"/>
  <c r="M51" i="3"/>
  <c r="S51" i="3" s="1"/>
  <c r="I51" i="19"/>
  <c r="H51" i="19"/>
  <c r="G51" i="19"/>
  <c r="G52" i="19" s="1"/>
  <c r="F51" i="19"/>
  <c r="F52" i="19" s="1"/>
  <c r="O52" i="3"/>
  <c r="U52" i="3" s="1"/>
  <c r="P52" i="3"/>
  <c r="V52" i="3" s="1"/>
  <c r="R52" i="3"/>
  <c r="X52" i="3" s="1"/>
  <c r="M52" i="3"/>
  <c r="S52" i="3" s="1"/>
  <c r="I52" i="19"/>
  <c r="H52" i="19"/>
  <c r="O53" i="3"/>
  <c r="U53" i="3" s="1"/>
  <c r="P53" i="3"/>
  <c r="V53" i="3" s="1"/>
  <c r="R53" i="3"/>
  <c r="X53" i="3" s="1"/>
  <c r="M53" i="3"/>
  <c r="S53" i="3" s="1"/>
  <c r="I53" i="19"/>
  <c r="H53" i="19"/>
  <c r="O54" i="3"/>
  <c r="U54" i="3" s="1"/>
  <c r="P54" i="3"/>
  <c r="V54" i="3" s="1"/>
  <c r="R54" i="3"/>
  <c r="X54" i="3" s="1"/>
  <c r="M54" i="3"/>
  <c r="S54" i="3" s="1"/>
  <c r="I54" i="19"/>
  <c r="H54" i="19"/>
  <c r="G54" i="19"/>
  <c r="G55" i="19" s="1"/>
  <c r="F54" i="19"/>
  <c r="F55" i="19" s="1"/>
  <c r="O55" i="3"/>
  <c r="U55" i="3" s="1"/>
  <c r="P55" i="3"/>
  <c r="V55" i="3" s="1"/>
  <c r="R55" i="3"/>
  <c r="X55" i="3" s="1"/>
  <c r="M55" i="3"/>
  <c r="S55" i="3" s="1"/>
  <c r="I55" i="19"/>
  <c r="H55" i="19"/>
  <c r="O56" i="3"/>
  <c r="U56" i="3" s="1"/>
  <c r="P56" i="3"/>
  <c r="V56" i="3" s="1"/>
  <c r="R56" i="3"/>
  <c r="X56" i="3" s="1"/>
  <c r="M56" i="3"/>
  <c r="S56" i="3" s="1"/>
  <c r="I56" i="19"/>
  <c r="H56" i="19"/>
  <c r="O57" i="3"/>
  <c r="U57" i="3" s="1"/>
  <c r="P57" i="3"/>
  <c r="V57" i="3" s="1"/>
  <c r="R57" i="3"/>
  <c r="X57" i="3" s="1"/>
  <c r="M57" i="3"/>
  <c r="S57" i="3" s="1"/>
  <c r="I57" i="19"/>
  <c r="H57" i="19"/>
  <c r="G57" i="19"/>
  <c r="G58" i="19" s="1"/>
  <c r="F57" i="19"/>
  <c r="F58" i="19" s="1"/>
  <c r="O58" i="3"/>
  <c r="U58" i="3" s="1"/>
  <c r="P58" i="3"/>
  <c r="V58" i="3" s="1"/>
  <c r="R58" i="3"/>
  <c r="X58" i="3" s="1"/>
  <c r="M58" i="3"/>
  <c r="S58" i="3" s="1"/>
  <c r="I58" i="19"/>
  <c r="H58" i="19"/>
  <c r="O59" i="3"/>
  <c r="U59" i="3" s="1"/>
  <c r="P59" i="3"/>
  <c r="V59" i="3" s="1"/>
  <c r="R59" i="3"/>
  <c r="X59" i="3" s="1"/>
  <c r="M59" i="3"/>
  <c r="S59" i="3" s="1"/>
  <c r="I59" i="19"/>
  <c r="H59" i="19"/>
  <c r="O60" i="3"/>
  <c r="U60" i="3" s="1"/>
  <c r="P60" i="3"/>
  <c r="V60" i="3" s="1"/>
  <c r="R60" i="3"/>
  <c r="X60" i="3" s="1"/>
  <c r="M60" i="3"/>
  <c r="S60" i="3" s="1"/>
  <c r="I60" i="19"/>
  <c r="H60" i="19"/>
  <c r="G60" i="19"/>
  <c r="G61" i="19" s="1"/>
  <c r="F60" i="19"/>
  <c r="F61" i="19" s="1"/>
  <c r="O61" i="3"/>
  <c r="U61" i="3" s="1"/>
  <c r="P61" i="3"/>
  <c r="V61" i="3" s="1"/>
  <c r="R61" i="3"/>
  <c r="X61" i="3" s="1"/>
  <c r="M61" i="3"/>
  <c r="S61" i="3" s="1"/>
  <c r="I61" i="19"/>
  <c r="H61" i="19"/>
  <c r="O62" i="3"/>
  <c r="U62" i="3" s="1"/>
  <c r="P62" i="3"/>
  <c r="V62" i="3" s="1"/>
  <c r="R62" i="3"/>
  <c r="X62" i="3" s="1"/>
  <c r="M62" i="3"/>
  <c r="S62" i="3" s="1"/>
  <c r="I62" i="19"/>
  <c r="H62" i="19"/>
  <c r="O63" i="3"/>
  <c r="U63" i="3" s="1"/>
  <c r="P63" i="3"/>
  <c r="V63" i="3" s="1"/>
  <c r="R63" i="3"/>
  <c r="X63" i="3" s="1"/>
  <c r="M63" i="3"/>
  <c r="S63" i="3" s="1"/>
  <c r="I63" i="19"/>
  <c r="H63" i="19"/>
  <c r="G63" i="19"/>
  <c r="G64" i="19" s="1"/>
  <c r="F63" i="19"/>
  <c r="F64" i="19" s="1"/>
  <c r="O64" i="3"/>
  <c r="U64" i="3" s="1"/>
  <c r="P64" i="3"/>
  <c r="V64" i="3" s="1"/>
  <c r="R64" i="3"/>
  <c r="X64" i="3" s="1"/>
  <c r="M64" i="3"/>
  <c r="S64" i="3" s="1"/>
  <c r="I64" i="19"/>
  <c r="H64" i="19"/>
  <c r="O65" i="3"/>
  <c r="U65" i="3" s="1"/>
  <c r="P65" i="3"/>
  <c r="V65" i="3" s="1"/>
  <c r="R65" i="3"/>
  <c r="X65" i="3" s="1"/>
  <c r="M65" i="3"/>
  <c r="S65" i="3" s="1"/>
  <c r="I65" i="19"/>
  <c r="H65" i="19"/>
  <c r="O66" i="3"/>
  <c r="U66" i="3" s="1"/>
  <c r="P66" i="3"/>
  <c r="V66" i="3" s="1"/>
  <c r="R66" i="3"/>
  <c r="X66" i="3" s="1"/>
  <c r="M66" i="3"/>
  <c r="S66" i="3" s="1"/>
  <c r="I66" i="19"/>
  <c r="H66" i="19"/>
  <c r="G66" i="19"/>
  <c r="G67" i="19" s="1"/>
  <c r="F66" i="19"/>
  <c r="F67" i="19" s="1"/>
  <c r="O67" i="3"/>
  <c r="U67" i="3" s="1"/>
  <c r="P67" i="3"/>
  <c r="V67" i="3" s="1"/>
  <c r="R67" i="3"/>
  <c r="X67" i="3" s="1"/>
  <c r="M67" i="3"/>
  <c r="S67" i="3" s="1"/>
  <c r="I67" i="19"/>
  <c r="H67" i="19"/>
  <c r="O68" i="3"/>
  <c r="U68" i="3" s="1"/>
  <c r="P68" i="3"/>
  <c r="V68" i="3" s="1"/>
  <c r="R68" i="3"/>
  <c r="X68" i="3" s="1"/>
  <c r="M68" i="3"/>
  <c r="S68" i="3" s="1"/>
  <c r="I68" i="19"/>
  <c r="H68" i="19"/>
  <c r="O69" i="3"/>
  <c r="U69" i="3" s="1"/>
  <c r="P69" i="3"/>
  <c r="V69" i="3" s="1"/>
  <c r="R69" i="3"/>
  <c r="X69" i="3" s="1"/>
  <c r="M69" i="3"/>
  <c r="S69" i="3" s="1"/>
  <c r="I69" i="19"/>
  <c r="H69" i="19"/>
  <c r="G69" i="19"/>
  <c r="G70" i="19" s="1"/>
  <c r="F69" i="19"/>
  <c r="F70" i="19" s="1"/>
  <c r="O70" i="3"/>
  <c r="U70" i="3" s="1"/>
  <c r="P70" i="3"/>
  <c r="V70" i="3" s="1"/>
  <c r="R70" i="3"/>
  <c r="X70" i="3" s="1"/>
  <c r="M70" i="3"/>
  <c r="S70" i="3" s="1"/>
  <c r="I70" i="19"/>
  <c r="H70" i="19"/>
  <c r="O71" i="3"/>
  <c r="U71" i="3" s="1"/>
  <c r="P71" i="3"/>
  <c r="V71" i="3" s="1"/>
  <c r="R71" i="3"/>
  <c r="X71" i="3" s="1"/>
  <c r="M71" i="3"/>
  <c r="S71" i="3" s="1"/>
  <c r="I71" i="19"/>
  <c r="H71" i="19"/>
  <c r="O72" i="3"/>
  <c r="U72" i="3" s="1"/>
  <c r="P72" i="3"/>
  <c r="V72" i="3" s="1"/>
  <c r="R72" i="3"/>
  <c r="X72" i="3" s="1"/>
  <c r="M72" i="3"/>
  <c r="S72" i="3" s="1"/>
  <c r="I72" i="19"/>
  <c r="H72" i="19"/>
  <c r="G72" i="19"/>
  <c r="G73" i="19" s="1"/>
  <c r="F72" i="19"/>
  <c r="F73" i="19" s="1"/>
  <c r="O73" i="3"/>
  <c r="U73" i="3" s="1"/>
  <c r="P73" i="3"/>
  <c r="V73" i="3" s="1"/>
  <c r="R73" i="3"/>
  <c r="X73" i="3" s="1"/>
  <c r="M73" i="3"/>
  <c r="S73" i="3" s="1"/>
  <c r="I73" i="19"/>
  <c r="H73" i="19"/>
  <c r="O74" i="3"/>
  <c r="U74" i="3" s="1"/>
  <c r="P74" i="3"/>
  <c r="V74" i="3" s="1"/>
  <c r="R74" i="3"/>
  <c r="X74" i="3" s="1"/>
  <c r="M74" i="3"/>
  <c r="S74" i="3" s="1"/>
  <c r="I74" i="19"/>
  <c r="H74" i="19"/>
  <c r="O75" i="3"/>
  <c r="U75" i="3" s="1"/>
  <c r="P75" i="3"/>
  <c r="V75" i="3" s="1"/>
  <c r="R75" i="3"/>
  <c r="X75" i="3" s="1"/>
  <c r="M75" i="3"/>
  <c r="S75" i="3" s="1"/>
  <c r="I75" i="19"/>
  <c r="H75" i="19"/>
  <c r="G75" i="19"/>
  <c r="G76" i="19" s="1"/>
  <c r="F75" i="19"/>
  <c r="F76" i="19" s="1"/>
  <c r="O76" i="3"/>
  <c r="U76" i="3" s="1"/>
  <c r="P76" i="3"/>
  <c r="V76" i="3" s="1"/>
  <c r="R76" i="3"/>
  <c r="X76" i="3" s="1"/>
  <c r="M76" i="3"/>
  <c r="S76" i="3" s="1"/>
  <c r="I76" i="19"/>
  <c r="H76" i="19"/>
  <c r="O77" i="3"/>
  <c r="U77" i="3" s="1"/>
  <c r="P77" i="3"/>
  <c r="V77" i="3" s="1"/>
  <c r="R77" i="3"/>
  <c r="X77" i="3" s="1"/>
  <c r="M77" i="3"/>
  <c r="S77" i="3" s="1"/>
  <c r="I77" i="19"/>
  <c r="H77" i="19"/>
  <c r="O78" i="3"/>
  <c r="U78" i="3" s="1"/>
  <c r="P78" i="3"/>
  <c r="V78" i="3" s="1"/>
  <c r="R78" i="3"/>
  <c r="X78" i="3" s="1"/>
  <c r="M78" i="3"/>
  <c r="S78" i="3" s="1"/>
  <c r="I78" i="19"/>
  <c r="H78" i="19"/>
  <c r="G78" i="19"/>
  <c r="G79" i="19" s="1"/>
  <c r="F78" i="19"/>
  <c r="F79" i="19" s="1"/>
  <c r="O79" i="3"/>
  <c r="U79" i="3" s="1"/>
  <c r="P79" i="3"/>
  <c r="V79" i="3" s="1"/>
  <c r="R79" i="3"/>
  <c r="X79" i="3" s="1"/>
  <c r="M79" i="3"/>
  <c r="S79" i="3" s="1"/>
  <c r="I79" i="19"/>
  <c r="H79" i="19"/>
  <c r="O80" i="3"/>
  <c r="U80" i="3" s="1"/>
  <c r="P80" i="3"/>
  <c r="V80" i="3" s="1"/>
  <c r="R80" i="3"/>
  <c r="X80" i="3" s="1"/>
  <c r="M80" i="3"/>
  <c r="S80" i="3" s="1"/>
  <c r="I80" i="19"/>
  <c r="H80" i="19"/>
  <c r="O81" i="3"/>
  <c r="U81" i="3" s="1"/>
  <c r="P81" i="3"/>
  <c r="V81" i="3" s="1"/>
  <c r="R81" i="3"/>
  <c r="X81" i="3" s="1"/>
  <c r="M81" i="3"/>
  <c r="S81" i="3" s="1"/>
  <c r="I81" i="19"/>
  <c r="H81" i="19"/>
  <c r="G81" i="19"/>
  <c r="G82" i="19" s="1"/>
  <c r="F81" i="19"/>
  <c r="F82" i="19" s="1"/>
  <c r="O82" i="3"/>
  <c r="U82" i="3" s="1"/>
  <c r="P82" i="3"/>
  <c r="V82" i="3" s="1"/>
  <c r="R82" i="3"/>
  <c r="X82" i="3" s="1"/>
  <c r="M82" i="3"/>
  <c r="S82" i="3" s="1"/>
  <c r="I82" i="19"/>
  <c r="H82" i="19"/>
  <c r="O83" i="3"/>
  <c r="U83" i="3" s="1"/>
  <c r="P83" i="3"/>
  <c r="V83" i="3" s="1"/>
  <c r="R83" i="3"/>
  <c r="X83" i="3" s="1"/>
  <c r="M83" i="3"/>
  <c r="S83" i="3" s="1"/>
  <c r="I83" i="19"/>
  <c r="H83" i="19"/>
  <c r="O84" i="3"/>
  <c r="U84" i="3" s="1"/>
  <c r="P84" i="3"/>
  <c r="V84" i="3" s="1"/>
  <c r="R84" i="3"/>
  <c r="X84" i="3" s="1"/>
  <c r="M84" i="3"/>
  <c r="S84" i="3" s="1"/>
  <c r="I84" i="19"/>
  <c r="H84" i="19"/>
  <c r="G84" i="19"/>
  <c r="G85" i="19" s="1"/>
  <c r="F84" i="19"/>
  <c r="F85" i="19" s="1"/>
  <c r="O85" i="3"/>
  <c r="U85" i="3" s="1"/>
  <c r="P85" i="3"/>
  <c r="V85" i="3" s="1"/>
  <c r="R85" i="3"/>
  <c r="X85" i="3" s="1"/>
  <c r="M85" i="3"/>
  <c r="S85" i="3" s="1"/>
  <c r="I85" i="19"/>
  <c r="H85" i="19"/>
  <c r="O86" i="3"/>
  <c r="U86" i="3" s="1"/>
  <c r="P86" i="3"/>
  <c r="V86" i="3" s="1"/>
  <c r="R86" i="3"/>
  <c r="X86" i="3" s="1"/>
  <c r="M86" i="3"/>
  <c r="S86" i="3" s="1"/>
  <c r="I86" i="19"/>
  <c r="H86" i="19"/>
  <c r="O87" i="3"/>
  <c r="U87" i="3" s="1"/>
  <c r="P87" i="3"/>
  <c r="V87" i="3" s="1"/>
  <c r="R87" i="3"/>
  <c r="X87" i="3" s="1"/>
  <c r="M87" i="3"/>
  <c r="S87" i="3" s="1"/>
  <c r="I87" i="19"/>
  <c r="H87" i="19"/>
  <c r="H89" i="19" s="1"/>
  <c r="G87" i="19"/>
  <c r="G88" i="19" s="1"/>
  <c r="F87" i="19"/>
  <c r="F88" i="19" s="1"/>
  <c r="O88" i="3"/>
  <c r="U88" i="3" s="1"/>
  <c r="P88" i="3"/>
  <c r="V88" i="3" s="1"/>
  <c r="R88" i="3"/>
  <c r="X88" i="3" s="1"/>
  <c r="M88" i="3"/>
  <c r="S88" i="3" s="1"/>
  <c r="I88" i="19"/>
  <c r="H88" i="19"/>
  <c r="O89" i="3"/>
  <c r="U89" i="3" s="1"/>
  <c r="P89" i="3"/>
  <c r="V89" i="3" s="1"/>
  <c r="R89" i="3"/>
  <c r="X89" i="3" s="1"/>
  <c r="M89" i="3"/>
  <c r="S89" i="3" s="1"/>
  <c r="I89" i="19"/>
  <c r="O90" i="3"/>
  <c r="U90" i="3" s="1"/>
  <c r="P90" i="3"/>
  <c r="V90" i="3" s="1"/>
  <c r="R90" i="3"/>
  <c r="X90" i="3" s="1"/>
  <c r="M90" i="3"/>
  <c r="S90" i="3" s="1"/>
  <c r="I90" i="19"/>
  <c r="H90" i="19"/>
  <c r="H92" i="19" s="1"/>
  <c r="G90" i="19"/>
  <c r="G91" i="19" s="1"/>
  <c r="F90" i="19"/>
  <c r="F91" i="19" s="1"/>
  <c r="O91" i="3"/>
  <c r="U91" i="3" s="1"/>
  <c r="P91" i="3"/>
  <c r="V91" i="3" s="1"/>
  <c r="R91" i="3"/>
  <c r="X91" i="3" s="1"/>
  <c r="M91" i="3"/>
  <c r="S91" i="3" s="1"/>
  <c r="I91" i="19"/>
  <c r="H91" i="19"/>
  <c r="O92" i="3"/>
  <c r="U92" i="3" s="1"/>
  <c r="P92" i="3"/>
  <c r="V92" i="3" s="1"/>
  <c r="R92" i="3"/>
  <c r="X92" i="3" s="1"/>
  <c r="M92" i="3"/>
  <c r="S92" i="3" s="1"/>
  <c r="I92" i="19"/>
  <c r="O93" i="3"/>
  <c r="U93" i="3" s="1"/>
  <c r="P93" i="3"/>
  <c r="V93" i="3" s="1"/>
  <c r="R93" i="3"/>
  <c r="X93" i="3" s="1"/>
  <c r="M93" i="3"/>
  <c r="S93" i="3" s="1"/>
  <c r="I93" i="19"/>
  <c r="H93" i="19"/>
  <c r="H95" i="19" s="1"/>
  <c r="G93" i="19"/>
  <c r="G94" i="19" s="1"/>
  <c r="F93" i="19"/>
  <c r="F94" i="19" s="1"/>
  <c r="O94" i="3"/>
  <c r="U94" i="3" s="1"/>
  <c r="P94" i="3"/>
  <c r="V94" i="3" s="1"/>
  <c r="R94" i="3"/>
  <c r="X94" i="3" s="1"/>
  <c r="M94" i="3"/>
  <c r="S94" i="3" s="1"/>
  <c r="I94" i="19"/>
  <c r="H94" i="19"/>
  <c r="O95" i="3"/>
  <c r="U95" i="3" s="1"/>
  <c r="P95" i="3"/>
  <c r="V95" i="3" s="1"/>
  <c r="R95" i="3"/>
  <c r="X95" i="3" s="1"/>
  <c r="M95" i="3"/>
  <c r="S95" i="3" s="1"/>
  <c r="I95" i="19"/>
  <c r="O96" i="3"/>
  <c r="U96" i="3" s="1"/>
  <c r="P96" i="3"/>
  <c r="V96" i="3" s="1"/>
  <c r="R96" i="3"/>
  <c r="X96" i="3" s="1"/>
  <c r="M96" i="3"/>
  <c r="S96" i="3" s="1"/>
  <c r="I96" i="19"/>
  <c r="H96" i="19"/>
  <c r="H98" i="19" s="1"/>
  <c r="G96" i="19"/>
  <c r="G97" i="19" s="1"/>
  <c r="F96" i="19"/>
  <c r="F97" i="19" s="1"/>
  <c r="O97" i="3"/>
  <c r="U97" i="3" s="1"/>
  <c r="P97" i="3"/>
  <c r="V97" i="3" s="1"/>
  <c r="R97" i="3"/>
  <c r="X97" i="3" s="1"/>
  <c r="M97" i="3"/>
  <c r="S97" i="3" s="1"/>
  <c r="I97" i="19"/>
  <c r="H97" i="19"/>
  <c r="O98" i="3"/>
  <c r="U98" i="3" s="1"/>
  <c r="P98" i="3"/>
  <c r="V98" i="3" s="1"/>
  <c r="R98" i="3"/>
  <c r="X98" i="3" s="1"/>
  <c r="M98" i="3"/>
  <c r="S98" i="3" s="1"/>
  <c r="I98" i="19"/>
  <c r="O99" i="3"/>
  <c r="U99" i="3" s="1"/>
  <c r="P99" i="3"/>
  <c r="V99" i="3" s="1"/>
  <c r="R99" i="3"/>
  <c r="X99" i="3" s="1"/>
  <c r="M99" i="3"/>
  <c r="S99" i="3" s="1"/>
  <c r="I99" i="19"/>
  <c r="H99" i="19"/>
  <c r="H101" i="19" s="1"/>
  <c r="G99" i="19"/>
  <c r="G100" i="19" s="1"/>
  <c r="F99" i="19"/>
  <c r="F100" i="19" s="1"/>
  <c r="O100" i="3"/>
  <c r="U100" i="3" s="1"/>
  <c r="P100" i="3"/>
  <c r="V100" i="3" s="1"/>
  <c r="R100" i="3"/>
  <c r="X100" i="3" s="1"/>
  <c r="M100" i="3"/>
  <c r="S100" i="3" s="1"/>
  <c r="I100" i="19"/>
  <c r="H100" i="19"/>
  <c r="O101" i="3"/>
  <c r="U101" i="3" s="1"/>
  <c r="P101" i="3"/>
  <c r="V101" i="3" s="1"/>
  <c r="R101" i="3"/>
  <c r="X101" i="3" s="1"/>
  <c r="M101" i="3"/>
  <c r="S101" i="3" s="1"/>
  <c r="I101" i="19"/>
  <c r="B42" i="3"/>
  <c r="B45" i="3" s="1"/>
  <c r="B48" i="3" s="1"/>
  <c r="B9" i="3"/>
  <c r="A9" i="19" s="1"/>
  <c r="A10" i="19" s="1"/>
  <c r="A11" i="19" s="1"/>
  <c r="F101" i="19" l="1"/>
  <c r="F98" i="19"/>
  <c r="F95" i="19"/>
  <c r="F92" i="19"/>
  <c r="F89" i="19"/>
  <c r="F86" i="19"/>
  <c r="F83" i="19"/>
  <c r="F80" i="19"/>
  <c r="F77" i="19"/>
  <c r="F74" i="19"/>
  <c r="F71" i="19"/>
  <c r="F68" i="19"/>
  <c r="F65" i="19"/>
  <c r="F62" i="19"/>
  <c r="F59" i="19"/>
  <c r="F56" i="19"/>
  <c r="F53" i="19"/>
  <c r="F50" i="19"/>
  <c r="N84" i="19"/>
  <c r="G101" i="19"/>
  <c r="G98" i="19"/>
  <c r="G95" i="19"/>
  <c r="G92" i="19"/>
  <c r="G89" i="19"/>
  <c r="G86" i="19"/>
  <c r="G83" i="19"/>
  <c r="G80" i="19"/>
  <c r="G77" i="19"/>
  <c r="G74" i="19"/>
  <c r="G71" i="19"/>
  <c r="G68" i="19"/>
  <c r="G65" i="19"/>
  <c r="G62" i="19"/>
  <c r="G59" i="19"/>
  <c r="G56" i="19"/>
  <c r="G53" i="19"/>
  <c r="I50" i="19"/>
  <c r="O83" i="19"/>
  <c r="O43" i="19"/>
  <c r="O54" i="19"/>
  <c r="G28" i="19"/>
  <c r="G25" i="19"/>
  <c r="G22" i="19"/>
  <c r="G19" i="19"/>
  <c r="G16" i="19"/>
  <c r="O82" i="19"/>
  <c r="B40" i="19"/>
  <c r="C40" i="19" s="1"/>
  <c r="D99" i="19"/>
  <c r="AD99" i="19" s="1"/>
  <c r="O95" i="19"/>
  <c r="N45" i="19"/>
  <c r="O20" i="19"/>
  <c r="O66" i="19"/>
  <c r="O50" i="19"/>
  <c r="O46" i="19"/>
  <c r="O34" i="19"/>
  <c r="M33" i="19"/>
  <c r="O31" i="19"/>
  <c r="N28" i="19"/>
  <c r="E24" i="19"/>
  <c r="O23" i="19"/>
  <c r="E84" i="19"/>
  <c r="M82" i="19"/>
  <c r="N64" i="19"/>
  <c r="C24" i="19"/>
  <c r="O33" i="19"/>
  <c r="B25" i="19"/>
  <c r="C25" i="19" s="1"/>
  <c r="O12" i="19"/>
  <c r="O62" i="19"/>
  <c r="N62" i="19"/>
  <c r="O52" i="19"/>
  <c r="B12" i="3"/>
  <c r="B15" i="3" s="1"/>
  <c r="B16" i="3" s="1"/>
  <c r="N47" i="19"/>
  <c r="N86" i="19"/>
  <c r="O77" i="19"/>
  <c r="B61" i="19"/>
  <c r="D61" i="19" s="1"/>
  <c r="O89" i="19"/>
  <c r="C69" i="19"/>
  <c r="M65" i="19"/>
  <c r="O51" i="19"/>
  <c r="M22" i="19"/>
  <c r="O17" i="19"/>
  <c r="M14" i="19"/>
  <c r="O11" i="19"/>
  <c r="G50" i="19"/>
  <c r="O88" i="19"/>
  <c r="M53" i="19"/>
  <c r="O42" i="19"/>
  <c r="H50" i="19"/>
  <c r="O55" i="19"/>
  <c r="M88" i="19"/>
  <c r="N87" i="19"/>
  <c r="D60" i="19"/>
  <c r="AD60" i="19" s="1"/>
  <c r="E45" i="19"/>
  <c r="AD45" i="19" s="1"/>
  <c r="M37" i="19"/>
  <c r="A42" i="19"/>
  <c r="A43" i="19" s="1"/>
  <c r="A44" i="19" s="1"/>
  <c r="B43" i="3"/>
  <c r="O75" i="19"/>
  <c r="O94" i="19"/>
  <c r="D51" i="19"/>
  <c r="M51" i="19"/>
  <c r="O27" i="19"/>
  <c r="A45" i="19"/>
  <c r="A46" i="19" s="1"/>
  <c r="A47" i="19" s="1"/>
  <c r="O58" i="19"/>
  <c r="O45" i="19"/>
  <c r="O30" i="19"/>
  <c r="O101" i="19"/>
  <c r="C99" i="19"/>
  <c r="O97" i="19"/>
  <c r="M94" i="19"/>
  <c r="O73" i="19"/>
  <c r="O70" i="19"/>
  <c r="O65" i="19"/>
  <c r="O63" i="19"/>
  <c r="C60" i="19"/>
  <c r="M60" i="19"/>
  <c r="O53" i="19"/>
  <c r="B52" i="19"/>
  <c r="C52" i="19" s="1"/>
  <c r="E51" i="19"/>
  <c r="N51" i="19"/>
  <c r="M48" i="19"/>
  <c r="D45" i="19"/>
  <c r="D36" i="19"/>
  <c r="M29" i="19"/>
  <c r="O61" i="19"/>
  <c r="O99" i="19"/>
  <c r="O26" i="19"/>
  <c r="O80" i="19"/>
  <c r="O56" i="19"/>
  <c r="P54" i="19" s="1"/>
  <c r="Y54" i="3" s="1"/>
  <c r="M55" i="19"/>
  <c r="O35" i="19"/>
  <c r="P33" i="19" s="1"/>
  <c r="Y33" i="3" s="1"/>
  <c r="O28" i="19"/>
  <c r="M26" i="19"/>
  <c r="B10" i="3"/>
  <c r="O81" i="19"/>
  <c r="O57" i="19"/>
  <c r="E87" i="19"/>
  <c r="M80" i="19"/>
  <c r="O69" i="19"/>
  <c r="O67" i="19"/>
  <c r="O64" i="19"/>
  <c r="M56" i="19"/>
  <c r="C48" i="19"/>
  <c r="B46" i="19"/>
  <c r="D46" i="19" s="1"/>
  <c r="M41" i="19"/>
  <c r="O40" i="19"/>
  <c r="M39" i="19"/>
  <c r="O37" i="19"/>
  <c r="M35" i="19"/>
  <c r="D33" i="19"/>
  <c r="O29" i="19"/>
  <c r="O10" i="19"/>
  <c r="E78" i="19"/>
  <c r="D78" i="19"/>
  <c r="C78" i="19"/>
  <c r="B79" i="19"/>
  <c r="E79" i="19" s="1"/>
  <c r="E90" i="19"/>
  <c r="D90" i="19"/>
  <c r="C90" i="19"/>
  <c r="B91" i="19"/>
  <c r="C91" i="19" s="1"/>
  <c r="N89" i="19"/>
  <c r="M89" i="19"/>
  <c r="AD87" i="19"/>
  <c r="N79" i="19"/>
  <c r="M79" i="19"/>
  <c r="O79" i="19"/>
  <c r="N92" i="19"/>
  <c r="M92" i="19"/>
  <c r="N68" i="19"/>
  <c r="M68" i="19"/>
  <c r="O68" i="19"/>
  <c r="N90" i="19"/>
  <c r="M90" i="19"/>
  <c r="AD84" i="19"/>
  <c r="E72" i="19"/>
  <c r="D72" i="19"/>
  <c r="N93" i="19"/>
  <c r="M93" i="19"/>
  <c r="O93" i="19"/>
  <c r="N91" i="19"/>
  <c r="M91" i="19"/>
  <c r="O91" i="19"/>
  <c r="N78" i="19"/>
  <c r="M78" i="19"/>
  <c r="N70" i="19"/>
  <c r="M70" i="19"/>
  <c r="O49" i="19"/>
  <c r="O92" i="19"/>
  <c r="O90" i="19"/>
  <c r="O78" i="19"/>
  <c r="AD24" i="19"/>
  <c r="O87" i="19"/>
  <c r="O72" i="19"/>
  <c r="O60" i="19"/>
  <c r="O48" i="19"/>
  <c r="O44" i="19"/>
  <c r="O36" i="19"/>
  <c r="O32" i="19"/>
  <c r="M95" i="19"/>
  <c r="B88" i="19"/>
  <c r="B89" i="19" s="1"/>
  <c r="C87" i="19"/>
  <c r="O86" i="19"/>
  <c r="C84" i="19"/>
  <c r="O84" i="19"/>
  <c r="M81" i="19"/>
  <c r="M74" i="19"/>
  <c r="M72" i="19"/>
  <c r="M66" i="19"/>
  <c r="M61" i="19"/>
  <c r="M49" i="19"/>
  <c r="M43" i="19"/>
  <c r="AD39" i="19"/>
  <c r="M30" i="19"/>
  <c r="O25" i="19"/>
  <c r="M20" i="19"/>
  <c r="M18" i="19"/>
  <c r="O13" i="19"/>
  <c r="M11" i="19"/>
  <c r="C9" i="19"/>
  <c r="O85" i="19"/>
  <c r="O71" i="19"/>
  <c r="O59" i="19"/>
  <c r="O47" i="19"/>
  <c r="O39" i="19"/>
  <c r="O22" i="19"/>
  <c r="B85" i="19"/>
  <c r="D66" i="19"/>
  <c r="AD66" i="19" s="1"/>
  <c r="C63" i="19"/>
  <c r="C61" i="19"/>
  <c r="M58" i="19"/>
  <c r="M32" i="19"/>
  <c r="D30" i="19"/>
  <c r="D18" i="19"/>
  <c r="O14" i="19"/>
  <c r="M13" i="19"/>
  <c r="D9" i="19"/>
  <c r="AD9" i="19" s="1"/>
  <c r="O16" i="19"/>
  <c r="O19" i="19"/>
  <c r="M16" i="19"/>
  <c r="O15" i="19"/>
  <c r="O18" i="19"/>
  <c r="M17" i="19"/>
  <c r="W103" i="18"/>
  <c r="V103" i="18"/>
  <c r="C21" i="19"/>
  <c r="M24" i="19"/>
  <c r="O24" i="19"/>
  <c r="P24" i="19" s="1"/>
  <c r="Y24" i="3" s="1"/>
  <c r="O21" i="19"/>
  <c r="M21" i="19"/>
  <c r="O9" i="19"/>
  <c r="M9" i="19"/>
  <c r="A12" i="19"/>
  <c r="A13" i="19" s="1"/>
  <c r="A14" i="19" s="1"/>
  <c r="G14" i="19"/>
  <c r="O100" i="19"/>
  <c r="P99" i="19" s="1"/>
  <c r="Y99" i="3" s="1"/>
  <c r="O98" i="19"/>
  <c r="O96" i="19"/>
  <c r="N101" i="19"/>
  <c r="M101" i="19"/>
  <c r="M100" i="19"/>
  <c r="N99" i="19"/>
  <c r="M99" i="19"/>
  <c r="M98" i="19"/>
  <c r="N97" i="19"/>
  <c r="M97" i="19"/>
  <c r="E96" i="19"/>
  <c r="AD96" i="19" s="1"/>
  <c r="C96" i="19"/>
  <c r="B97" i="19"/>
  <c r="M96" i="19"/>
  <c r="E93" i="19"/>
  <c r="D93" i="19"/>
  <c r="AD93" i="19" s="1"/>
  <c r="C81" i="19"/>
  <c r="N76" i="19"/>
  <c r="O76" i="19"/>
  <c r="P75" i="19" s="1"/>
  <c r="Y75" i="3" s="1"/>
  <c r="E91" i="19"/>
  <c r="N77" i="19"/>
  <c r="M77" i="19"/>
  <c r="O74" i="19"/>
  <c r="P72" i="19" s="1"/>
  <c r="Y72" i="3" s="1"/>
  <c r="C75" i="19"/>
  <c r="C73" i="19"/>
  <c r="C72" i="19"/>
  <c r="M69" i="19"/>
  <c r="B67" i="19"/>
  <c r="E67" i="19" s="1"/>
  <c r="M67" i="19"/>
  <c r="C66" i="19"/>
  <c r="M59" i="19"/>
  <c r="C57" i="19"/>
  <c r="M44" i="19"/>
  <c r="C39" i="19"/>
  <c r="M36" i="19"/>
  <c r="B34" i="19"/>
  <c r="B35" i="19" s="1"/>
  <c r="M34" i="19"/>
  <c r="C33" i="19"/>
  <c r="B31" i="19"/>
  <c r="E31" i="19" s="1"/>
  <c r="M31" i="19"/>
  <c r="C30" i="19"/>
  <c r="B19" i="19"/>
  <c r="M19" i="19"/>
  <c r="C18" i="19"/>
  <c r="B10" i="19"/>
  <c r="C10" i="19" s="1"/>
  <c r="B51" i="3"/>
  <c r="B49" i="3"/>
  <c r="A48" i="19"/>
  <c r="A49" i="19" s="1"/>
  <c r="A50" i="19" s="1"/>
  <c r="B18" i="3"/>
  <c r="A15" i="19"/>
  <c r="A16" i="19" s="1"/>
  <c r="A17" i="19" s="1"/>
  <c r="B46" i="3"/>
  <c r="F14" i="19"/>
  <c r="H14" i="19"/>
  <c r="B100" i="19"/>
  <c r="B98" i="19"/>
  <c r="B94" i="19"/>
  <c r="M85" i="19"/>
  <c r="M83" i="19"/>
  <c r="E81" i="19"/>
  <c r="B82" i="19"/>
  <c r="M75" i="19"/>
  <c r="M73" i="19"/>
  <c r="M71" i="19"/>
  <c r="E69" i="19"/>
  <c r="B70" i="19"/>
  <c r="B68" i="19"/>
  <c r="M63" i="19"/>
  <c r="E85" i="19"/>
  <c r="B86" i="19"/>
  <c r="E75" i="19"/>
  <c r="B76" i="19"/>
  <c r="E73" i="19"/>
  <c r="B74" i="19"/>
  <c r="E63" i="19"/>
  <c r="B64" i="19"/>
  <c r="E61" i="19"/>
  <c r="B62" i="19"/>
  <c r="M57" i="19"/>
  <c r="E54" i="19"/>
  <c r="B55" i="19"/>
  <c r="D54" i="19"/>
  <c r="N54" i="19"/>
  <c r="M54" i="19"/>
  <c r="B53" i="19"/>
  <c r="N52" i="19"/>
  <c r="M52" i="19"/>
  <c r="N38" i="19"/>
  <c r="M38" i="19"/>
  <c r="AD33" i="19"/>
  <c r="E57" i="19"/>
  <c r="B58" i="19"/>
  <c r="N50" i="19"/>
  <c r="M50" i="19"/>
  <c r="E42" i="19"/>
  <c r="B43" i="19"/>
  <c r="D42" i="19"/>
  <c r="N42" i="19"/>
  <c r="M42" i="19"/>
  <c r="D40" i="19"/>
  <c r="N40" i="19"/>
  <c r="M40" i="19"/>
  <c r="AD30" i="19"/>
  <c r="E27" i="19"/>
  <c r="B28" i="19"/>
  <c r="D27" i="19"/>
  <c r="N27" i="19"/>
  <c r="M27" i="19"/>
  <c r="E25" i="19"/>
  <c r="B26" i="19"/>
  <c r="D25" i="19"/>
  <c r="N25" i="19"/>
  <c r="M25" i="19"/>
  <c r="AD18" i="19"/>
  <c r="E48" i="19"/>
  <c r="B49" i="19"/>
  <c r="E46" i="19"/>
  <c r="E36" i="19"/>
  <c r="B37" i="19"/>
  <c r="N23" i="19"/>
  <c r="M23" i="19"/>
  <c r="E15" i="19"/>
  <c r="B16" i="19"/>
  <c r="D15" i="19"/>
  <c r="N15" i="19"/>
  <c r="M15" i="19"/>
  <c r="E21" i="19"/>
  <c r="B22" i="19"/>
  <c r="E12" i="19"/>
  <c r="B13" i="19"/>
  <c r="D12" i="19"/>
  <c r="N12" i="19"/>
  <c r="M12" i="19"/>
  <c r="N10" i="19"/>
  <c r="M10" i="19"/>
  <c r="E52" i="19" l="1"/>
  <c r="B41" i="19"/>
  <c r="E40" i="19"/>
  <c r="P81" i="19"/>
  <c r="Y81" i="3" s="1"/>
  <c r="E88" i="19"/>
  <c r="B80" i="19"/>
  <c r="B47" i="19"/>
  <c r="D47" i="19" s="1"/>
  <c r="D52" i="19"/>
  <c r="AD52" i="19" s="1"/>
  <c r="B13" i="3"/>
  <c r="E34" i="19"/>
  <c r="AD34" i="19" s="1"/>
  <c r="P30" i="19"/>
  <c r="Y30" i="3" s="1"/>
  <c r="C46" i="19"/>
  <c r="AD51" i="19"/>
  <c r="P36" i="19"/>
  <c r="Y36" i="3" s="1"/>
  <c r="E10" i="19"/>
  <c r="P63" i="19"/>
  <c r="Y63" i="3" s="1"/>
  <c r="P60" i="19"/>
  <c r="Y60" i="3" s="1"/>
  <c r="P93" i="19"/>
  <c r="Y93" i="3" s="1"/>
  <c r="P66" i="19"/>
  <c r="Y66" i="3" s="1"/>
  <c r="P27" i="19"/>
  <c r="Y27" i="3" s="1"/>
  <c r="P87" i="19"/>
  <c r="Y87" i="3" s="1"/>
  <c r="P45" i="19"/>
  <c r="Y45" i="3" s="1"/>
  <c r="P42" i="19"/>
  <c r="Y42" i="3" s="1"/>
  <c r="P9" i="19"/>
  <c r="Y9" i="3" s="1"/>
  <c r="P57" i="19"/>
  <c r="Y57" i="3" s="1"/>
  <c r="P51" i="19"/>
  <c r="Y51" i="3" s="1"/>
  <c r="P69" i="19"/>
  <c r="Y69" i="3" s="1"/>
  <c r="P78" i="19"/>
  <c r="Y78" i="3" s="1"/>
  <c r="B11" i="19"/>
  <c r="AD90" i="19"/>
  <c r="P12" i="19"/>
  <c r="Y12" i="3" s="1"/>
  <c r="P39" i="19"/>
  <c r="Y39" i="3" s="1"/>
  <c r="AD72" i="19"/>
  <c r="D10" i="19"/>
  <c r="D91" i="19"/>
  <c r="AD91" i="19" s="1"/>
  <c r="P21" i="19"/>
  <c r="Y21" i="3" s="1"/>
  <c r="P18" i="19"/>
  <c r="Y18" i="3" s="1"/>
  <c r="P15" i="19"/>
  <c r="Y15" i="3" s="1"/>
  <c r="D85" i="19"/>
  <c r="C85" i="19"/>
  <c r="P48" i="19"/>
  <c r="Y48" i="3" s="1"/>
  <c r="B32" i="19"/>
  <c r="C32" i="19" s="1"/>
  <c r="AD78" i="19"/>
  <c r="B92" i="19"/>
  <c r="E92" i="19" s="1"/>
  <c r="P96" i="19"/>
  <c r="Y96" i="3" s="1"/>
  <c r="P84" i="19"/>
  <c r="Y84" i="3" s="1"/>
  <c r="D88" i="19"/>
  <c r="C88" i="19"/>
  <c r="P90" i="19"/>
  <c r="Y90" i="3" s="1"/>
  <c r="D79" i="19"/>
  <c r="AD79" i="19" s="1"/>
  <c r="C79" i="19"/>
  <c r="C31" i="19"/>
  <c r="D31" i="19"/>
  <c r="E19" i="19"/>
  <c r="B20" i="19"/>
  <c r="D19" i="19"/>
  <c r="C19" i="19"/>
  <c r="C34" i="19"/>
  <c r="D34" i="19"/>
  <c r="C67" i="19"/>
  <c r="D67" i="19"/>
  <c r="AD67" i="19" s="1"/>
  <c r="E97" i="19"/>
  <c r="C97" i="19"/>
  <c r="D97" i="19"/>
  <c r="D22" i="19"/>
  <c r="C22" i="19"/>
  <c r="B23" i="19"/>
  <c r="E22" i="19"/>
  <c r="AD15" i="19"/>
  <c r="AD36" i="19"/>
  <c r="AD48" i="19"/>
  <c r="D41" i="19"/>
  <c r="C41" i="19"/>
  <c r="E41" i="19"/>
  <c r="AD42" i="19"/>
  <c r="AD57" i="19"/>
  <c r="D53" i="19"/>
  <c r="C53" i="19"/>
  <c r="E53" i="19"/>
  <c r="D62" i="19"/>
  <c r="C62" i="19"/>
  <c r="E62" i="19"/>
  <c r="D64" i="19"/>
  <c r="C64" i="19"/>
  <c r="E64" i="19"/>
  <c r="B65" i="19"/>
  <c r="D74" i="19"/>
  <c r="C74" i="19"/>
  <c r="E74" i="19"/>
  <c r="D76" i="19"/>
  <c r="C76" i="19"/>
  <c r="E76" i="19"/>
  <c r="B77" i="19"/>
  <c r="D86" i="19"/>
  <c r="E86" i="19"/>
  <c r="C86" i="19"/>
  <c r="D68" i="19"/>
  <c r="C68" i="19"/>
  <c r="E68" i="19"/>
  <c r="D70" i="19"/>
  <c r="C70" i="19"/>
  <c r="E70" i="19"/>
  <c r="B71" i="19"/>
  <c r="D80" i="19"/>
  <c r="C80" i="19"/>
  <c r="E80" i="19"/>
  <c r="D82" i="19"/>
  <c r="C82" i="19"/>
  <c r="E82" i="19"/>
  <c r="B83" i="19"/>
  <c r="D89" i="19"/>
  <c r="C89" i="19"/>
  <c r="E89" i="19"/>
  <c r="C92" i="19"/>
  <c r="E98" i="19"/>
  <c r="D98" i="19"/>
  <c r="C98" i="19"/>
  <c r="D13" i="19"/>
  <c r="E13" i="19"/>
  <c r="B14" i="19"/>
  <c r="C13" i="19"/>
  <c r="AD31" i="19"/>
  <c r="D16" i="19"/>
  <c r="C16" i="19"/>
  <c r="E16" i="19"/>
  <c r="B17" i="19"/>
  <c r="D35" i="19"/>
  <c r="C35" i="19"/>
  <c r="E35" i="19"/>
  <c r="D37" i="19"/>
  <c r="C37" i="19"/>
  <c r="E37" i="19"/>
  <c r="B38" i="19"/>
  <c r="D49" i="19"/>
  <c r="C49" i="19"/>
  <c r="B50" i="19"/>
  <c r="E49" i="19"/>
  <c r="AD25" i="19"/>
  <c r="D28" i="19"/>
  <c r="C28" i="19"/>
  <c r="E28" i="19"/>
  <c r="B29" i="19"/>
  <c r="AD40" i="19"/>
  <c r="D43" i="19"/>
  <c r="C43" i="19"/>
  <c r="E43" i="19"/>
  <c r="B44" i="19"/>
  <c r="D58" i="19"/>
  <c r="C58" i="19"/>
  <c r="E58" i="19"/>
  <c r="B59" i="19"/>
  <c r="D55" i="19"/>
  <c r="C55" i="19"/>
  <c r="E55" i="19"/>
  <c r="B56" i="19"/>
  <c r="AD61" i="19"/>
  <c r="AD63" i="19"/>
  <c r="AD73" i="19"/>
  <c r="AD75" i="19"/>
  <c r="AD85" i="19"/>
  <c r="AD69" i="19"/>
  <c r="AD81" i="19"/>
  <c r="AD88" i="19"/>
  <c r="E94" i="19"/>
  <c r="B95" i="19"/>
  <c r="D94" i="19"/>
  <c r="C94" i="19"/>
  <c r="E100" i="19"/>
  <c r="B101" i="19"/>
  <c r="D100" i="19"/>
  <c r="C100" i="19"/>
  <c r="B21" i="3"/>
  <c r="B19" i="3"/>
  <c r="A18" i="19"/>
  <c r="A19" i="19" s="1"/>
  <c r="A20" i="19" s="1"/>
  <c r="D11" i="19"/>
  <c r="C11" i="19"/>
  <c r="E11" i="19"/>
  <c r="AD46" i="19"/>
  <c r="D26" i="19"/>
  <c r="C26" i="19"/>
  <c r="E26" i="19"/>
  <c r="AD27" i="19"/>
  <c r="AD54" i="19"/>
  <c r="B52" i="3"/>
  <c r="A51" i="19"/>
  <c r="A52" i="19" s="1"/>
  <c r="A53" i="19" s="1"/>
  <c r="B54" i="3"/>
  <c r="D92" i="19" l="1"/>
  <c r="E47" i="19"/>
  <c r="C47" i="19"/>
  <c r="E32" i="19"/>
  <c r="D32" i="19"/>
  <c r="AD10" i="19"/>
  <c r="D20" i="19"/>
  <c r="E20" i="19"/>
  <c r="C20" i="19"/>
  <c r="AD97" i="19"/>
  <c r="AD19" i="19"/>
  <c r="D101" i="19"/>
  <c r="C101" i="19"/>
  <c r="E101" i="19"/>
  <c r="D95" i="19"/>
  <c r="C95" i="19"/>
  <c r="E95" i="19"/>
  <c r="E56" i="19"/>
  <c r="C56" i="19"/>
  <c r="D56" i="19"/>
  <c r="E59" i="19"/>
  <c r="C59" i="19"/>
  <c r="D59" i="19"/>
  <c r="E44" i="19"/>
  <c r="C44" i="19"/>
  <c r="D44" i="19"/>
  <c r="E29" i="19"/>
  <c r="C29" i="19"/>
  <c r="D29" i="19"/>
  <c r="AD49" i="19"/>
  <c r="AD47" i="19"/>
  <c r="AD37" i="19"/>
  <c r="E17" i="19"/>
  <c r="C17" i="19"/>
  <c r="D17" i="19"/>
  <c r="AD98" i="19"/>
  <c r="AD89" i="19"/>
  <c r="AD82" i="19"/>
  <c r="E71" i="19"/>
  <c r="C71" i="19"/>
  <c r="D71" i="19"/>
  <c r="AD68" i="19"/>
  <c r="AD86" i="19"/>
  <c r="E77" i="19"/>
  <c r="D77" i="19"/>
  <c r="C77" i="19"/>
  <c r="AD74" i="19"/>
  <c r="AD64" i="19"/>
  <c r="AD53" i="19"/>
  <c r="B57" i="3"/>
  <c r="B55" i="3"/>
  <c r="A54" i="19"/>
  <c r="A55" i="19" s="1"/>
  <c r="A56" i="19" s="1"/>
  <c r="AD26" i="19"/>
  <c r="AD32" i="19"/>
  <c r="AD11" i="19"/>
  <c r="B24" i="3"/>
  <c r="B22" i="3"/>
  <c r="A21" i="19"/>
  <c r="A22" i="19" s="1"/>
  <c r="A23" i="19" s="1"/>
  <c r="AD100" i="19"/>
  <c r="AD94" i="19"/>
  <c r="AD55" i="19"/>
  <c r="AD58" i="19"/>
  <c r="AD43" i="19"/>
  <c r="AD28" i="19"/>
  <c r="E50" i="19"/>
  <c r="D50" i="19"/>
  <c r="C50" i="19"/>
  <c r="E38" i="19"/>
  <c r="D38" i="19"/>
  <c r="C38" i="19"/>
  <c r="AD35" i="19"/>
  <c r="AD16" i="19"/>
  <c r="D14" i="19"/>
  <c r="C14" i="19"/>
  <c r="E14" i="19"/>
  <c r="AD92" i="19"/>
  <c r="E83" i="19"/>
  <c r="C83" i="19"/>
  <c r="D83" i="19"/>
  <c r="AD80" i="19"/>
  <c r="AD70" i="19"/>
  <c r="AD76" i="19"/>
  <c r="E65" i="19"/>
  <c r="D65" i="19"/>
  <c r="C65" i="19"/>
  <c r="AD62" i="19"/>
  <c r="AD41" i="19"/>
  <c r="E23" i="19"/>
  <c r="D23" i="19"/>
  <c r="C23" i="19"/>
  <c r="AD20" i="19" l="1"/>
  <c r="AD65" i="19"/>
  <c r="AD50" i="19"/>
  <c r="B60" i="3"/>
  <c r="B58" i="3"/>
  <c r="A57" i="19"/>
  <c r="A58" i="19" s="1"/>
  <c r="A59" i="19" s="1"/>
  <c r="AD71" i="19"/>
  <c r="AD29" i="19"/>
  <c r="AD59" i="19"/>
  <c r="AD95" i="19"/>
  <c r="AD83" i="19"/>
  <c r="AD38" i="19"/>
  <c r="B27" i="3"/>
  <c r="B25" i="3"/>
  <c r="A24" i="19"/>
  <c r="A25" i="19" s="1"/>
  <c r="A26" i="19" s="1"/>
  <c r="AD77" i="19"/>
  <c r="AD17" i="19"/>
  <c r="AD44" i="19"/>
  <c r="AD56" i="19"/>
  <c r="AD101" i="19"/>
  <c r="B30" i="3" l="1"/>
  <c r="B28" i="3"/>
  <c r="A27" i="19"/>
  <c r="A28" i="19" s="1"/>
  <c r="A29" i="19" s="1"/>
  <c r="B63" i="3"/>
  <c r="B61" i="3"/>
  <c r="A60" i="19"/>
  <c r="A61" i="19" s="1"/>
  <c r="A62" i="19" s="1"/>
  <c r="B66" i="3" l="1"/>
  <c r="A63" i="19"/>
  <c r="A64" i="19" s="1"/>
  <c r="A65" i="19" s="1"/>
  <c r="B64" i="3"/>
  <c r="B33" i="3"/>
  <c r="B31" i="3"/>
  <c r="A30" i="19"/>
  <c r="A31" i="19" s="1"/>
  <c r="A32" i="19" s="1"/>
  <c r="B69" i="3" l="1"/>
  <c r="B67" i="3"/>
  <c r="A66" i="19"/>
  <c r="A67" i="19" s="1"/>
  <c r="A68" i="19" s="1"/>
  <c r="B36" i="3"/>
  <c r="B34" i="3"/>
  <c r="A33" i="19"/>
  <c r="A34" i="19" s="1"/>
  <c r="A35" i="19" s="1"/>
  <c r="AD12" i="19" l="1"/>
  <c r="B39" i="3"/>
  <c r="B37" i="3"/>
  <c r="A36" i="19"/>
  <c r="A37" i="19" s="1"/>
  <c r="A38" i="19" s="1"/>
  <c r="B72" i="3"/>
  <c r="A69" i="19"/>
  <c r="A70" i="19" s="1"/>
  <c r="A71" i="19" s="1"/>
  <c r="B70" i="3"/>
  <c r="S71" i="19"/>
  <c r="U19" i="19"/>
  <c r="U36" i="19"/>
  <c r="U89" i="19"/>
  <c r="S85" i="19"/>
  <c r="S33" i="19"/>
  <c r="T58" i="19"/>
  <c r="U91" i="19"/>
  <c r="T93" i="19"/>
  <c r="R84" i="19"/>
  <c r="S97" i="19"/>
  <c r="U39" i="19"/>
  <c r="T94" i="19"/>
  <c r="S34" i="19"/>
  <c r="R55" i="19"/>
  <c r="U28" i="19"/>
  <c r="U41" i="19"/>
  <c r="T30" i="19"/>
  <c r="R61" i="19"/>
  <c r="S52" i="19"/>
  <c r="U24" i="19"/>
  <c r="S84" i="19"/>
  <c r="S30" i="19"/>
  <c r="R31" i="19"/>
  <c r="U52" i="19"/>
  <c r="R92" i="19"/>
  <c r="R69" i="19"/>
  <c r="T28" i="19"/>
  <c r="U31" i="19"/>
  <c r="R90" i="19"/>
  <c r="U43" i="19"/>
  <c r="T62" i="19"/>
  <c r="S59" i="19"/>
  <c r="T82" i="19"/>
  <c r="S21" i="19"/>
  <c r="T87" i="19"/>
  <c r="T23" i="19"/>
  <c r="R95" i="19"/>
  <c r="U37" i="19"/>
  <c r="R36" i="19"/>
  <c r="R11" i="19"/>
  <c r="T90" i="19"/>
  <c r="T38" i="19"/>
  <c r="T21" i="19"/>
  <c r="T74" i="19"/>
  <c r="R66" i="19"/>
  <c r="U65" i="19"/>
  <c r="U20" i="19"/>
  <c r="T10" i="19"/>
  <c r="T63" i="19"/>
  <c r="T88" i="19"/>
  <c r="U84" i="19"/>
  <c r="T17" i="19"/>
  <c r="T60" i="19"/>
  <c r="R76" i="19"/>
  <c r="S69" i="19"/>
  <c r="U85" i="19"/>
  <c r="U76" i="19"/>
  <c r="S53" i="19"/>
  <c r="U90" i="19"/>
  <c r="U101" i="19"/>
  <c r="T27" i="19"/>
  <c r="R99" i="19"/>
  <c r="R40" i="19"/>
  <c r="T14" i="19"/>
  <c r="T40" i="19"/>
  <c r="R68" i="19"/>
  <c r="R19" i="19"/>
  <c r="R56" i="19"/>
  <c r="S49" i="19"/>
  <c r="T56" i="19"/>
  <c r="S81" i="19"/>
  <c r="U22" i="19"/>
  <c r="S24" i="19"/>
  <c r="U38" i="19"/>
  <c r="R25" i="19"/>
  <c r="U51" i="19"/>
  <c r="R39" i="19"/>
  <c r="S35" i="19"/>
  <c r="S79" i="19"/>
  <c r="S74" i="19"/>
  <c r="T37" i="19"/>
  <c r="T31" i="19"/>
  <c r="U27" i="19"/>
  <c r="U11" i="19"/>
  <c r="R63" i="19"/>
  <c r="R18" i="19"/>
  <c r="S93" i="19"/>
  <c r="U47" i="19"/>
  <c r="U93" i="19"/>
  <c r="R74" i="19"/>
  <c r="S27" i="19"/>
  <c r="R94" i="19"/>
  <c r="T85" i="19"/>
  <c r="R57" i="19"/>
  <c r="U77" i="19"/>
  <c r="U71" i="19"/>
  <c r="U83" i="19"/>
  <c r="T16" i="19"/>
  <c r="R34" i="19"/>
  <c r="U17" i="19"/>
  <c r="T45" i="19"/>
  <c r="R21" i="19"/>
  <c r="T59" i="19"/>
  <c r="U25" i="19"/>
  <c r="U10" i="19"/>
  <c r="U50" i="19"/>
  <c r="U30" i="19"/>
  <c r="S29" i="19"/>
  <c r="S95" i="19"/>
  <c r="T42" i="19"/>
  <c r="U70" i="19"/>
  <c r="R10" i="19"/>
  <c r="R87" i="19"/>
  <c r="T19" i="19"/>
  <c r="T26" i="19"/>
  <c r="R26" i="19"/>
  <c r="S86" i="19"/>
  <c r="S12" i="19"/>
  <c r="R91" i="19"/>
  <c r="S36" i="19"/>
  <c r="T51" i="19"/>
  <c r="R45" i="19"/>
  <c r="T76" i="19"/>
  <c r="R27" i="19"/>
  <c r="T47" i="19"/>
  <c r="U87" i="19"/>
  <c r="R98" i="19"/>
  <c r="R16" i="19"/>
  <c r="T78" i="19"/>
  <c r="U80" i="19"/>
  <c r="R82" i="19"/>
  <c r="U61" i="19"/>
  <c r="T13" i="19"/>
  <c r="R15" i="19"/>
  <c r="S65" i="19"/>
  <c r="S90" i="19"/>
  <c r="T89" i="19"/>
  <c r="S61" i="19"/>
  <c r="R62" i="19"/>
  <c r="S45" i="19"/>
  <c r="S11" i="19"/>
  <c r="S60" i="19"/>
  <c r="T32" i="19"/>
  <c r="T66" i="19"/>
  <c r="U81" i="19"/>
  <c r="U60" i="19"/>
  <c r="U79" i="19"/>
  <c r="S38" i="19"/>
  <c r="S17" i="19"/>
  <c r="U82" i="19"/>
  <c r="U67" i="19"/>
  <c r="U15" i="19"/>
  <c r="S64" i="19"/>
  <c r="S10" i="19"/>
  <c r="R88" i="19"/>
  <c r="S75" i="19"/>
  <c r="T48" i="19"/>
  <c r="R64" i="19"/>
  <c r="U73" i="19"/>
  <c r="T98" i="19"/>
  <c r="S44" i="19"/>
  <c r="T35" i="19"/>
  <c r="S28" i="19"/>
  <c r="S20" i="19"/>
  <c r="S48" i="19"/>
  <c r="R35" i="19"/>
  <c r="R65" i="19"/>
  <c r="S23" i="19"/>
  <c r="R41" i="19"/>
  <c r="T72" i="19"/>
  <c r="U88" i="19"/>
  <c r="S40" i="19"/>
  <c r="R59" i="19"/>
  <c r="U40" i="19"/>
  <c r="R42" i="19"/>
  <c r="R24" i="19"/>
  <c r="T11" i="19"/>
  <c r="S100" i="19"/>
  <c r="U63" i="19"/>
  <c r="S98" i="19"/>
  <c r="U100" i="19"/>
  <c r="R93" i="19"/>
  <c r="R28" i="19"/>
  <c r="T92" i="19"/>
  <c r="U12" i="19"/>
  <c r="R73" i="19"/>
  <c r="U74" i="19"/>
  <c r="U66" i="19"/>
  <c r="R30" i="19"/>
  <c r="S19" i="19"/>
  <c r="S91" i="19"/>
  <c r="S32" i="19"/>
  <c r="T29" i="19"/>
  <c r="S66" i="19"/>
  <c r="T70" i="19"/>
  <c r="R53" i="19"/>
  <c r="S42" i="19"/>
  <c r="R71" i="19"/>
  <c r="T33" i="19"/>
  <c r="R60" i="19"/>
  <c r="S41" i="19"/>
  <c r="S46" i="19"/>
  <c r="R100" i="19"/>
  <c r="R72" i="19"/>
  <c r="R20" i="19"/>
  <c r="S76" i="19"/>
  <c r="T15" i="19"/>
  <c r="S15" i="19"/>
  <c r="T79" i="19"/>
  <c r="R43" i="19"/>
  <c r="S47" i="19"/>
  <c r="S58" i="19"/>
  <c r="R22" i="19"/>
  <c r="U59" i="19"/>
  <c r="S62" i="19"/>
  <c r="R33" i="19"/>
  <c r="R97" i="19"/>
  <c r="R48" i="19"/>
  <c r="R96" i="19"/>
  <c r="U23" i="19"/>
  <c r="R54" i="19"/>
  <c r="U72" i="19"/>
  <c r="T50" i="19"/>
  <c r="T49" i="19"/>
  <c r="S55" i="19"/>
  <c r="S70" i="19"/>
  <c r="U94" i="19"/>
  <c r="R44" i="19"/>
  <c r="U56" i="19"/>
  <c r="S43" i="19"/>
  <c r="U13" i="19"/>
  <c r="S63" i="19"/>
  <c r="S22" i="19"/>
  <c r="U29" i="19"/>
  <c r="T101" i="19"/>
  <c r="R78" i="19"/>
  <c r="S68" i="19"/>
  <c r="U54" i="19"/>
  <c r="T43" i="19"/>
  <c r="S88" i="19"/>
  <c r="T54" i="19"/>
  <c r="T39" i="19"/>
  <c r="T64" i="19"/>
  <c r="S92" i="19"/>
  <c r="R12" i="19"/>
  <c r="R77" i="19"/>
  <c r="T34" i="19"/>
  <c r="S50" i="19"/>
  <c r="T57" i="19"/>
  <c r="U42" i="19"/>
  <c r="R86" i="19"/>
  <c r="U57" i="19"/>
  <c r="R83" i="19"/>
  <c r="U26" i="19"/>
  <c r="R32" i="19"/>
  <c r="S72" i="19"/>
  <c r="U95" i="19"/>
  <c r="S78" i="19"/>
  <c r="T67" i="19"/>
  <c r="T100" i="19"/>
  <c r="U14" i="19"/>
  <c r="S89" i="19"/>
  <c r="R89" i="19"/>
  <c r="T81" i="19"/>
  <c r="U62" i="19"/>
  <c r="T97" i="19"/>
  <c r="T52" i="19"/>
  <c r="U86" i="19"/>
  <c r="T55" i="19"/>
  <c r="R79" i="19"/>
  <c r="R9" i="19"/>
  <c r="R81" i="19"/>
  <c r="U97" i="19"/>
  <c r="R85" i="19"/>
  <c r="S77" i="19"/>
  <c r="R75" i="19"/>
  <c r="U75" i="19"/>
  <c r="R29" i="19"/>
  <c r="R37" i="19"/>
  <c r="S18" i="19"/>
  <c r="S14" i="19"/>
  <c r="S26" i="19"/>
  <c r="U64" i="19"/>
  <c r="U53" i="19"/>
  <c r="T91" i="19"/>
  <c r="U21" i="19"/>
  <c r="R17" i="19"/>
  <c r="S96" i="19"/>
  <c r="T36" i="19"/>
  <c r="R49" i="19"/>
  <c r="T22" i="19"/>
  <c r="S73" i="19"/>
  <c r="U49" i="19"/>
  <c r="S101" i="19"/>
  <c r="S87" i="19"/>
  <c r="T44" i="19"/>
  <c r="U48" i="19"/>
  <c r="T77" i="19"/>
  <c r="S67" i="19"/>
  <c r="U46" i="19"/>
  <c r="R14" i="19"/>
  <c r="T46" i="19"/>
  <c r="U68" i="19"/>
  <c r="T96" i="19"/>
  <c r="T80" i="19"/>
  <c r="R50" i="19"/>
  <c r="T95" i="19"/>
  <c r="T86" i="19"/>
  <c r="T83" i="19"/>
  <c r="S16" i="19"/>
  <c r="U45" i="19"/>
  <c r="S80" i="19"/>
  <c r="T9" i="19"/>
  <c r="T61" i="19"/>
  <c r="T73" i="19"/>
  <c r="R67" i="19"/>
  <c r="U16" i="19"/>
  <c r="S25" i="19"/>
  <c r="U99" i="19"/>
  <c r="U69" i="19"/>
  <c r="T69" i="19"/>
  <c r="U33" i="19"/>
  <c r="R58" i="19"/>
  <c r="U58" i="19"/>
  <c r="S37" i="19"/>
  <c r="R51" i="19"/>
  <c r="R47" i="19"/>
  <c r="T20" i="19"/>
  <c r="S99" i="19"/>
  <c r="U96" i="19"/>
  <c r="T68" i="19"/>
  <c r="T75" i="19"/>
  <c r="S57" i="19"/>
  <c r="U35" i="19"/>
  <c r="S13" i="19"/>
  <c r="U18" i="19"/>
  <c r="U9" i="19"/>
  <c r="S94" i="19"/>
  <c r="S9" i="19"/>
  <c r="S54" i="19"/>
  <c r="T53" i="19"/>
  <c r="T25" i="19"/>
  <c r="U98" i="19"/>
  <c r="T18" i="19"/>
  <c r="U92" i="19"/>
  <c r="R80" i="19"/>
  <c r="T24" i="19"/>
  <c r="U32" i="19"/>
  <c r="S31" i="19"/>
  <c r="T99" i="19"/>
  <c r="R23" i="19"/>
  <c r="T65" i="19"/>
  <c r="U44" i="19"/>
  <c r="R70" i="19"/>
  <c r="U34" i="19"/>
  <c r="U55" i="19"/>
  <c r="R52" i="19"/>
  <c r="R38" i="19"/>
  <c r="R13" i="19"/>
  <c r="R101" i="19"/>
  <c r="S51" i="19"/>
  <c r="S83" i="19"/>
  <c r="T84" i="19"/>
  <c r="U78" i="19"/>
  <c r="R46" i="19"/>
  <c r="S56" i="19"/>
  <c r="T71" i="19"/>
  <c r="S82" i="19"/>
  <c r="T41" i="19"/>
  <c r="S39" i="19"/>
  <c r="T12" i="19"/>
  <c r="V12" i="19" l="1"/>
  <c r="V41" i="19"/>
  <c r="V71" i="19"/>
  <c r="V84" i="19"/>
  <c r="V65" i="19"/>
  <c r="V99" i="19"/>
  <c r="V24" i="19"/>
  <c r="V18" i="19"/>
  <c r="V25" i="19"/>
  <c r="V53" i="19"/>
  <c r="V75" i="19"/>
  <c r="V68" i="19"/>
  <c r="V20" i="19"/>
  <c r="V69" i="19"/>
  <c r="V73" i="19"/>
  <c r="V61" i="19"/>
  <c r="V9" i="19"/>
  <c r="W9" i="19" s="1"/>
  <c r="X9" i="19" s="1"/>
  <c r="V83" i="19"/>
  <c r="V86" i="19"/>
  <c r="V95" i="19"/>
  <c r="V80" i="19"/>
  <c r="V96" i="19"/>
  <c r="V46" i="19"/>
  <c r="V77" i="19"/>
  <c r="V44" i="19"/>
  <c r="V22" i="19"/>
  <c r="V36" i="19"/>
  <c r="V91" i="19"/>
  <c r="V55" i="19"/>
  <c r="V52" i="19"/>
  <c r="V97" i="19"/>
  <c r="V81" i="19"/>
  <c r="V100" i="19"/>
  <c r="V67" i="19"/>
  <c r="V57" i="19"/>
  <c r="V34" i="19"/>
  <c r="V64" i="19"/>
  <c r="V39" i="19"/>
  <c r="V54" i="19"/>
  <c r="V43" i="19"/>
  <c r="V101" i="19"/>
  <c r="V49" i="19"/>
  <c r="V50" i="19"/>
  <c r="V79" i="19"/>
  <c r="V15" i="19"/>
  <c r="V33" i="19"/>
  <c r="V70" i="19"/>
  <c r="V29" i="19"/>
  <c r="V92" i="19"/>
  <c r="V11" i="19"/>
  <c r="V72" i="19"/>
  <c r="V35" i="19"/>
  <c r="V98" i="19"/>
  <c r="V48" i="19"/>
  <c r="V66" i="19"/>
  <c r="V32" i="19"/>
  <c r="V89" i="19"/>
  <c r="V13" i="19"/>
  <c r="V78" i="19"/>
  <c r="V47" i="19"/>
  <c r="V76" i="19"/>
  <c r="V51" i="19"/>
  <c r="V26" i="19"/>
  <c r="V19" i="19"/>
  <c r="V42" i="19"/>
  <c r="V59" i="19"/>
  <c r="V45" i="19"/>
  <c r="V16" i="19"/>
  <c r="V85" i="19"/>
  <c r="V31" i="19"/>
  <c r="V37" i="19"/>
  <c r="V56" i="19"/>
  <c r="V40" i="19"/>
  <c r="V14" i="19"/>
  <c r="V27" i="19"/>
  <c r="V60" i="19"/>
  <c r="V17" i="19"/>
  <c r="V88" i="19"/>
  <c r="V63" i="19"/>
  <c r="V10" i="19"/>
  <c r="V74" i="19"/>
  <c r="V21" i="19"/>
  <c r="V38" i="19"/>
  <c r="V90" i="19"/>
  <c r="V23" i="19"/>
  <c r="V87" i="19"/>
  <c r="V82" i="19"/>
  <c r="V62" i="19"/>
  <c r="V28" i="19"/>
  <c r="V30" i="19"/>
  <c r="V94" i="19"/>
  <c r="V93" i="19"/>
  <c r="V58" i="19"/>
  <c r="W10" i="19"/>
  <c r="W11" i="19" s="1"/>
  <c r="AD13" i="19"/>
  <c r="B75" i="3"/>
  <c r="B73" i="3"/>
  <c r="A72" i="19"/>
  <c r="A73" i="19" s="1"/>
  <c r="A74" i="19" s="1"/>
  <c r="B40" i="3"/>
  <c r="A39" i="19"/>
  <c r="A40" i="19" s="1"/>
  <c r="A41" i="19" s="1"/>
  <c r="AB9" i="19"/>
  <c r="Z9" i="19"/>
  <c r="Y9" i="19"/>
  <c r="AA9" i="19"/>
  <c r="AE9" i="19" l="1"/>
  <c r="AC9" i="19"/>
  <c r="AF9" i="19"/>
  <c r="X10" i="19"/>
  <c r="X11" i="19"/>
  <c r="W12" i="19"/>
  <c r="AD14" i="19"/>
  <c r="B78" i="3"/>
  <c r="A75" i="19"/>
  <c r="A76" i="19" s="1"/>
  <c r="A77" i="19" s="1"/>
  <c r="B76" i="3"/>
  <c r="AB11" i="19"/>
  <c r="AL9" i="19"/>
  <c r="AH9" i="19"/>
  <c r="AQ9" i="19"/>
  <c r="AJ9" i="19"/>
  <c r="AS9" i="19"/>
  <c r="AP9" i="19"/>
  <c r="AN9" i="19"/>
  <c r="AR9" i="19"/>
  <c r="AO9" i="19"/>
  <c r="AU9" i="19"/>
  <c r="AI9" i="19"/>
  <c r="AK9" i="19"/>
  <c r="AG9" i="19"/>
  <c r="AT9" i="19"/>
  <c r="AM9" i="19"/>
  <c r="AA11" i="19"/>
  <c r="Z11" i="19"/>
  <c r="Y11" i="19"/>
  <c r="AB10" i="19"/>
  <c r="AA10" i="19"/>
  <c r="Y10" i="19"/>
  <c r="Z10" i="19"/>
  <c r="AC10" i="19" l="1"/>
  <c r="AE10" i="19"/>
  <c r="AF10" i="19"/>
  <c r="BC9" i="19"/>
  <c r="BJ9" i="19"/>
  <c r="AW9" i="19"/>
  <c r="J10" i="18" s="1"/>
  <c r="BA9" i="19"/>
  <c r="N10" i="18" s="1"/>
  <c r="AY9" i="19"/>
  <c r="L10" i="18" s="1"/>
  <c r="BK9" i="19"/>
  <c r="T10" i="18" s="1"/>
  <c r="BE9" i="19"/>
  <c r="BH9" i="19"/>
  <c r="S10" i="18" s="1"/>
  <c r="BD9" i="19"/>
  <c r="P10" i="18" s="1"/>
  <c r="BF9" i="19"/>
  <c r="Q10" i="18" s="1"/>
  <c r="BI9" i="19"/>
  <c r="AZ9" i="19"/>
  <c r="M10" i="18" s="1"/>
  <c r="BG9" i="19"/>
  <c r="R10" i="18" s="1"/>
  <c r="AX9" i="19"/>
  <c r="K10" i="18" s="1"/>
  <c r="BB9" i="19"/>
  <c r="AC11" i="19"/>
  <c r="AE11" i="19"/>
  <c r="AF11" i="19"/>
  <c r="W13" i="19"/>
  <c r="X12" i="19"/>
  <c r="O10" i="18"/>
  <c r="B81" i="3"/>
  <c r="B79" i="3"/>
  <c r="A78" i="19"/>
  <c r="A79" i="19" s="1"/>
  <c r="A80" i="19" s="1"/>
  <c r="AN11" i="19"/>
  <c r="AS11" i="19"/>
  <c r="AK11" i="19"/>
  <c r="AJ11" i="19"/>
  <c r="AL11" i="19"/>
  <c r="AA12" i="19"/>
  <c r="Y12" i="19"/>
  <c r="AU11" i="19"/>
  <c r="AH11" i="19"/>
  <c r="AO11" i="19"/>
  <c r="AS10" i="19"/>
  <c r="AR10" i="19"/>
  <c r="AG10" i="19"/>
  <c r="AH10" i="19"/>
  <c r="AP10" i="19"/>
  <c r="AO10" i="19"/>
  <c r="AU10" i="19"/>
  <c r="AT10" i="19"/>
  <c r="AN10" i="19"/>
  <c r="AL10" i="19"/>
  <c r="AJ10" i="19"/>
  <c r="AQ10" i="19"/>
  <c r="AM10" i="19"/>
  <c r="AK10" i="19"/>
  <c r="AI10" i="19"/>
  <c r="AQ11" i="19"/>
  <c r="AB12" i="19"/>
  <c r="AR11" i="19"/>
  <c r="Z12" i="19"/>
  <c r="AG11" i="19"/>
  <c r="AP11" i="19"/>
  <c r="AM11" i="19"/>
  <c r="AI11" i="19"/>
  <c r="AT11" i="19"/>
  <c r="AY10" i="19" l="1"/>
  <c r="L11" i="18" s="1"/>
  <c r="BA10" i="19"/>
  <c r="N11" i="18" s="1"/>
  <c r="BC10" i="19"/>
  <c r="BG10" i="19"/>
  <c r="R11" i="18" s="1"/>
  <c r="AZ10" i="19"/>
  <c r="M11" i="18" s="1"/>
  <c r="BB10" i="19"/>
  <c r="O11" i="18" s="1"/>
  <c r="BD10" i="19"/>
  <c r="P11" i="18" s="1"/>
  <c r="BJ10" i="19"/>
  <c r="T11" i="18" s="1"/>
  <c r="BK10" i="19"/>
  <c r="BE10" i="19"/>
  <c r="BF10" i="19"/>
  <c r="Q11" i="18" s="1"/>
  <c r="AX10" i="19"/>
  <c r="K11" i="18" s="1"/>
  <c r="AW10" i="19"/>
  <c r="J11" i="18" s="1"/>
  <c r="BH10" i="19"/>
  <c r="BI10" i="19"/>
  <c r="BL9" i="19"/>
  <c r="BM9" i="19" s="1"/>
  <c r="S11" i="18"/>
  <c r="BJ11" i="19"/>
  <c r="BB11" i="19"/>
  <c r="BF11" i="19"/>
  <c r="Q12" i="18" s="1"/>
  <c r="AX11" i="19"/>
  <c r="K12" i="18" s="1"/>
  <c r="BE11" i="19"/>
  <c r="BG11" i="19"/>
  <c r="R12" i="18" s="1"/>
  <c r="AY11" i="19"/>
  <c r="L12" i="18" s="1"/>
  <c r="BA11" i="19"/>
  <c r="N12" i="18" s="1"/>
  <c r="BH11" i="19"/>
  <c r="BI11" i="19"/>
  <c r="AZ11" i="19"/>
  <c r="M12" i="18" s="1"/>
  <c r="AW11" i="19"/>
  <c r="BK11" i="19"/>
  <c r="BD11" i="19"/>
  <c r="BC11" i="19"/>
  <c r="AE12" i="19"/>
  <c r="AF12" i="19"/>
  <c r="AC12" i="19"/>
  <c r="W14" i="19"/>
  <c r="X13" i="19"/>
  <c r="B84" i="3"/>
  <c r="A81" i="19"/>
  <c r="A82" i="19" s="1"/>
  <c r="A83" i="19" s="1"/>
  <c r="B82" i="3"/>
  <c r="AQ12" i="19"/>
  <c r="AT12" i="19"/>
  <c r="AP12" i="19"/>
  <c r="AA13" i="19"/>
  <c r="AH12" i="19"/>
  <c r="AI12" i="19"/>
  <c r="AR12" i="19"/>
  <c r="AU12" i="19"/>
  <c r="AJ12" i="19"/>
  <c r="AS12" i="19"/>
  <c r="Z13" i="19"/>
  <c r="AO12" i="19"/>
  <c r="AN12" i="19"/>
  <c r="AG12" i="19"/>
  <c r="AM12" i="19"/>
  <c r="AK12" i="19"/>
  <c r="AB13" i="19"/>
  <c r="AL12" i="19"/>
  <c r="Y13" i="19"/>
  <c r="BL10" i="19" l="1"/>
  <c r="BM10" i="19" s="1"/>
  <c r="P12" i="18"/>
  <c r="AE13" i="19"/>
  <c r="AC13" i="19"/>
  <c r="AF13" i="19"/>
  <c r="AY12" i="19"/>
  <c r="L13" i="18" s="1"/>
  <c r="BI12" i="19"/>
  <c r="BC12" i="19"/>
  <c r="AZ12" i="19"/>
  <c r="M13" i="18" s="1"/>
  <c r="BE12" i="19"/>
  <c r="BK12" i="19"/>
  <c r="BH12" i="19"/>
  <c r="BB12" i="19"/>
  <c r="AW12" i="19"/>
  <c r="BJ12" i="19"/>
  <c r="BG12" i="19"/>
  <c r="R13" i="18" s="1"/>
  <c r="AX12" i="19"/>
  <c r="K13" i="18" s="1"/>
  <c r="BA12" i="19"/>
  <c r="N13" i="18" s="1"/>
  <c r="BD12" i="19"/>
  <c r="BF12" i="19"/>
  <c r="Q13" i="18" s="1"/>
  <c r="X14" i="19"/>
  <c r="W15" i="19"/>
  <c r="O12" i="18"/>
  <c r="U10" i="18" s="1"/>
  <c r="J12" i="18"/>
  <c r="BL11" i="19"/>
  <c r="BM11" i="19" s="1"/>
  <c r="S12" i="18"/>
  <c r="T12" i="18"/>
  <c r="B87" i="3"/>
  <c r="B85" i="3"/>
  <c r="A84" i="19"/>
  <c r="A85" i="19" s="1"/>
  <c r="A86" i="19" s="1"/>
  <c r="AI13" i="19"/>
  <c r="AH13" i="19"/>
  <c r="AA14" i="19"/>
  <c r="AK13" i="19"/>
  <c r="AL13" i="19"/>
  <c r="Y14" i="19"/>
  <c r="AU13" i="19"/>
  <c r="AJ13" i="19"/>
  <c r="AN13" i="19"/>
  <c r="AS13" i="19"/>
  <c r="AO13" i="19"/>
  <c r="AG13" i="19"/>
  <c r="AM13" i="19"/>
  <c r="AT13" i="19"/>
  <c r="AP13" i="19"/>
  <c r="AQ13" i="19"/>
  <c r="Z14" i="19"/>
  <c r="AB14" i="19"/>
  <c r="AR13" i="19"/>
  <c r="T13" i="18" l="1"/>
  <c r="S13" i="18"/>
  <c r="O13" i="18"/>
  <c r="P13" i="18"/>
  <c r="AC14" i="19"/>
  <c r="AF14" i="19"/>
  <c r="AE14" i="19"/>
  <c r="BE13" i="19"/>
  <c r="AY13" i="19"/>
  <c r="L14" i="18" s="1"/>
  <c r="AW13" i="19"/>
  <c r="BK13" i="19"/>
  <c r="BH13" i="19"/>
  <c r="BD13" i="19"/>
  <c r="BI13" i="19"/>
  <c r="AX13" i="19"/>
  <c r="K14" i="18" s="1"/>
  <c r="BA13" i="19"/>
  <c r="N14" i="18" s="1"/>
  <c r="BC13" i="19"/>
  <c r="BG13" i="19"/>
  <c r="R14" i="18" s="1"/>
  <c r="BJ13" i="19"/>
  <c r="BB13" i="19"/>
  <c r="AZ13" i="19"/>
  <c r="M14" i="18" s="1"/>
  <c r="BF13" i="19"/>
  <c r="Q14" i="18" s="1"/>
  <c r="BL12" i="19"/>
  <c r="BM12" i="19" s="1"/>
  <c r="J13" i="18"/>
  <c r="W16" i="19"/>
  <c r="X15" i="19"/>
  <c r="B90" i="3"/>
  <c r="A87" i="19"/>
  <c r="A88" i="19" s="1"/>
  <c r="A89" i="19" s="1"/>
  <c r="B88" i="3"/>
  <c r="AS14" i="19"/>
  <c r="AO14" i="19"/>
  <c r="AM14" i="19"/>
  <c r="AR14" i="19"/>
  <c r="AK14" i="19"/>
  <c r="AA15" i="19"/>
  <c r="AN14" i="19"/>
  <c r="Z15" i="19"/>
  <c r="AJ14" i="19"/>
  <c r="AT14" i="19"/>
  <c r="AH14" i="19"/>
  <c r="AB15" i="19"/>
  <c r="AU14" i="19"/>
  <c r="AL14" i="19"/>
  <c r="Y15" i="19"/>
  <c r="AI14" i="19"/>
  <c r="AG14" i="19"/>
  <c r="AQ14" i="19"/>
  <c r="AP14" i="19"/>
  <c r="T14" i="18" l="1"/>
  <c r="P14" i="18"/>
  <c r="S14" i="18"/>
  <c r="O14" i="18"/>
  <c r="AE15" i="19"/>
  <c r="AC15" i="19"/>
  <c r="AF15" i="19"/>
  <c r="BI14" i="19"/>
  <c r="BJ14" i="19"/>
  <c r="BD14" i="19"/>
  <c r="AZ14" i="19"/>
  <c r="M15" i="18" s="1"/>
  <c r="AW14" i="19"/>
  <c r="BC14" i="19"/>
  <c r="BG14" i="19"/>
  <c r="R15" i="18" s="1"/>
  <c r="BH14" i="19"/>
  <c r="BF14" i="19"/>
  <c r="Q15" i="18" s="1"/>
  <c r="AX14" i="19"/>
  <c r="K15" i="18" s="1"/>
  <c r="AY14" i="19"/>
  <c r="L15" i="18" s="1"/>
  <c r="BB14" i="19"/>
  <c r="BE14" i="19"/>
  <c r="BK14" i="19"/>
  <c r="BA14" i="19"/>
  <c r="N15" i="18" s="1"/>
  <c r="W17" i="19"/>
  <c r="X16" i="19"/>
  <c r="J14" i="18"/>
  <c r="BL13" i="19"/>
  <c r="BM13" i="19" s="1"/>
  <c r="B93" i="3"/>
  <c r="B91" i="3"/>
  <c r="A90" i="19"/>
  <c r="A91" i="19" s="1"/>
  <c r="A92" i="19" s="1"/>
  <c r="AM15" i="19"/>
  <c r="AG15" i="19"/>
  <c r="AP15" i="19"/>
  <c r="AQ15" i="19"/>
  <c r="AH15" i="19"/>
  <c r="Z16" i="19"/>
  <c r="AU15" i="19"/>
  <c r="AJ15" i="19"/>
  <c r="AO15" i="19"/>
  <c r="AN15" i="19"/>
  <c r="AI15" i="19"/>
  <c r="AK15" i="19"/>
  <c r="AT15" i="19"/>
  <c r="AA16" i="19"/>
  <c r="AR15" i="19"/>
  <c r="AL15" i="19"/>
  <c r="AS15" i="19"/>
  <c r="AB16" i="19"/>
  <c r="Y16" i="19"/>
  <c r="O15" i="18" l="1"/>
  <c r="AX15" i="19"/>
  <c r="K16" i="18" s="1"/>
  <c r="BH15" i="19"/>
  <c r="AY15" i="19"/>
  <c r="L16" i="18" s="1"/>
  <c r="BE15" i="19"/>
  <c r="AZ15" i="19"/>
  <c r="M16" i="18" s="1"/>
  <c r="BD15" i="19"/>
  <c r="BI15" i="19"/>
  <c r="BC15" i="19"/>
  <c r="BJ15" i="19"/>
  <c r="BG15" i="19"/>
  <c r="R16" i="18" s="1"/>
  <c r="AW15" i="19"/>
  <c r="BK15" i="19"/>
  <c r="BA15" i="19"/>
  <c r="N16" i="18" s="1"/>
  <c r="BF15" i="19"/>
  <c r="Q16" i="18" s="1"/>
  <c r="BB15" i="19"/>
  <c r="AF16" i="19"/>
  <c r="AC16" i="19"/>
  <c r="AE16" i="19"/>
  <c r="S15" i="18"/>
  <c r="X17" i="19"/>
  <c r="W18" i="19"/>
  <c r="P15" i="18"/>
  <c r="J15" i="18"/>
  <c r="BL14" i="19"/>
  <c r="BM14" i="19" s="1"/>
  <c r="T15" i="18"/>
  <c r="B96" i="3"/>
  <c r="A93" i="19"/>
  <c r="A94" i="19" s="1"/>
  <c r="A95" i="19" s="1"/>
  <c r="B94" i="3"/>
  <c r="AP16" i="19"/>
  <c r="AQ16" i="19"/>
  <c r="AB17" i="19"/>
  <c r="AI16" i="19"/>
  <c r="AA17" i="19"/>
  <c r="AL16" i="19"/>
  <c r="AG16" i="19"/>
  <c r="AS16" i="19"/>
  <c r="AU16" i="19"/>
  <c r="AK16" i="19"/>
  <c r="Y17" i="19"/>
  <c r="AR16" i="19"/>
  <c r="AM16" i="19"/>
  <c r="AO16" i="19"/>
  <c r="Z17" i="19"/>
  <c r="AT16" i="19"/>
  <c r="AN16" i="19"/>
  <c r="AH16" i="19"/>
  <c r="AJ16" i="19"/>
  <c r="P16" i="18" l="1"/>
  <c r="O16" i="18"/>
  <c r="T16" i="18"/>
  <c r="AF17" i="19"/>
  <c r="AC17" i="19"/>
  <c r="AE17" i="19"/>
  <c r="BG16" i="19"/>
  <c r="R17" i="18" s="1"/>
  <c r="BI16" i="19"/>
  <c r="BC16" i="19"/>
  <c r="AX16" i="19"/>
  <c r="K17" i="18" s="1"/>
  <c r="BD16" i="19"/>
  <c r="BK16" i="19"/>
  <c r="BH16" i="19"/>
  <c r="BB16" i="19"/>
  <c r="BJ16" i="19"/>
  <c r="AY16" i="19"/>
  <c r="L17" i="18" s="1"/>
  <c r="BF16" i="19"/>
  <c r="Q17" i="18" s="1"/>
  <c r="AW16" i="19"/>
  <c r="BA16" i="19"/>
  <c r="N17" i="18" s="1"/>
  <c r="AZ16" i="19"/>
  <c r="M17" i="18" s="1"/>
  <c r="BE16" i="19"/>
  <c r="J16" i="18"/>
  <c r="BL15" i="19"/>
  <c r="BM15" i="19" s="1"/>
  <c r="U13" i="18"/>
  <c r="S16" i="18"/>
  <c r="W19" i="19"/>
  <c r="X18" i="19"/>
  <c r="AD21" i="19"/>
  <c r="B99" i="3"/>
  <c r="B97" i="3"/>
  <c r="A96" i="19"/>
  <c r="A97" i="19" s="1"/>
  <c r="A98" i="19" s="1"/>
  <c r="AG17" i="19"/>
  <c r="AA18" i="19"/>
  <c r="AB18" i="19"/>
  <c r="AK17" i="19"/>
  <c r="AT17" i="19"/>
  <c r="AO17" i="19"/>
  <c r="AP17" i="19"/>
  <c r="AQ17" i="19"/>
  <c r="AI17" i="19"/>
  <c r="AU17" i="19"/>
  <c r="AR17" i="19"/>
  <c r="AL17" i="19"/>
  <c r="AH17" i="19"/>
  <c r="Y18" i="19"/>
  <c r="AJ17" i="19"/>
  <c r="AN17" i="19"/>
  <c r="AM17" i="19"/>
  <c r="AS17" i="19"/>
  <c r="Z18" i="19"/>
  <c r="O17" i="18" l="1"/>
  <c r="S17" i="18"/>
  <c r="T17" i="18"/>
  <c r="P17" i="18"/>
  <c r="AF18" i="19"/>
  <c r="AE18" i="19"/>
  <c r="AC18" i="19"/>
  <c r="BH17" i="19"/>
  <c r="AY17" i="19"/>
  <c r="L18" i="18" s="1"/>
  <c r="AZ17" i="19"/>
  <c r="M18" i="18" s="1"/>
  <c r="BA17" i="19"/>
  <c r="N18" i="18" s="1"/>
  <c r="BD17" i="19"/>
  <c r="AW17" i="19"/>
  <c r="BK17" i="19"/>
  <c r="BB17" i="19"/>
  <c r="BE17" i="19"/>
  <c r="BI17" i="19"/>
  <c r="BG17" i="19"/>
  <c r="R18" i="18" s="1"/>
  <c r="BC17" i="19"/>
  <c r="AX17" i="19"/>
  <c r="K18" i="18" s="1"/>
  <c r="BJ17" i="19"/>
  <c r="BF17" i="19"/>
  <c r="Q18" i="18" s="1"/>
  <c r="X19" i="19"/>
  <c r="W20" i="19"/>
  <c r="BL16" i="19"/>
  <c r="BM16" i="19" s="1"/>
  <c r="J17" i="18"/>
  <c r="AD22" i="19"/>
  <c r="A99" i="19"/>
  <c r="A100" i="19" s="1"/>
  <c r="A101" i="19" s="1"/>
  <c r="B100" i="3"/>
  <c r="AL18" i="19"/>
  <c r="Z19" i="19"/>
  <c r="AP18" i="19"/>
  <c r="AB19" i="19"/>
  <c r="AK18" i="19"/>
  <c r="AA19" i="19"/>
  <c r="AO18" i="19"/>
  <c r="AJ18" i="19"/>
  <c r="AU18" i="19"/>
  <c r="AH18" i="19"/>
  <c r="AR18" i="19"/>
  <c r="AM18" i="19"/>
  <c r="AQ18" i="19"/>
  <c r="Y19" i="19"/>
  <c r="AI18" i="19"/>
  <c r="AG18" i="19"/>
  <c r="AS18" i="19"/>
  <c r="AT18" i="19"/>
  <c r="AN18" i="19"/>
  <c r="T18" i="18" l="1"/>
  <c r="AE19" i="19"/>
  <c r="AC19" i="19"/>
  <c r="AF19" i="19"/>
  <c r="AW18" i="19"/>
  <c r="BK18" i="19"/>
  <c r="BG18" i="19"/>
  <c r="R19" i="18" s="1"/>
  <c r="AY18" i="19"/>
  <c r="L19" i="18" s="1"/>
  <c r="BE18" i="19"/>
  <c r="BF18" i="19"/>
  <c r="Q19" i="18" s="1"/>
  <c r="AX18" i="19"/>
  <c r="K19" i="18" s="1"/>
  <c r="BI18" i="19"/>
  <c r="BB18" i="19"/>
  <c r="BD18" i="19"/>
  <c r="AZ18" i="19"/>
  <c r="M19" i="18" s="1"/>
  <c r="BH18" i="19"/>
  <c r="BJ18" i="19"/>
  <c r="BA18" i="19"/>
  <c r="N19" i="18" s="1"/>
  <c r="BC18" i="19"/>
  <c r="X20" i="19"/>
  <c r="W21" i="19"/>
  <c r="P18" i="18"/>
  <c r="S18" i="18"/>
  <c r="O18" i="18"/>
  <c r="U16" i="18" s="1"/>
  <c r="J18" i="18"/>
  <c r="BL17" i="19"/>
  <c r="BM17" i="19" s="1"/>
  <c r="AD23" i="19"/>
  <c r="AL19" i="19"/>
  <c r="AJ19" i="19"/>
  <c r="Z20" i="19"/>
  <c r="AG19" i="19"/>
  <c r="AK19" i="19"/>
  <c r="AT19" i="19"/>
  <c r="AH19" i="19"/>
  <c r="AO19" i="19"/>
  <c r="AR19" i="19"/>
  <c r="Y20" i="19"/>
  <c r="AB20" i="19"/>
  <c r="AQ19" i="19"/>
  <c r="AS19" i="19"/>
  <c r="AA20" i="19"/>
  <c r="AI19" i="19"/>
  <c r="AN19" i="19"/>
  <c r="AP19" i="19"/>
  <c r="AM19" i="19"/>
  <c r="AU19" i="19"/>
  <c r="S19" i="18" l="1"/>
  <c r="P19" i="18"/>
  <c r="T19" i="18"/>
  <c r="AE20" i="19"/>
  <c r="AF20" i="19"/>
  <c r="AC20" i="19"/>
  <c r="AX19" i="19"/>
  <c r="K20" i="18" s="1"/>
  <c r="BF19" i="19"/>
  <c r="Q20" i="18" s="1"/>
  <c r="BK19" i="19"/>
  <c r="BJ19" i="19"/>
  <c r="AW19" i="19"/>
  <c r="BC19" i="19"/>
  <c r="BG19" i="19"/>
  <c r="R20" i="18" s="1"/>
  <c r="BE19" i="19"/>
  <c r="AZ19" i="19"/>
  <c r="M20" i="18" s="1"/>
  <c r="BH19" i="19"/>
  <c r="BD19" i="19"/>
  <c r="BA19" i="19"/>
  <c r="N20" i="18" s="1"/>
  <c r="AY19" i="19"/>
  <c r="L20" i="18" s="1"/>
  <c r="BB19" i="19"/>
  <c r="BI19" i="19"/>
  <c r="X21" i="19"/>
  <c r="W22" i="19"/>
  <c r="O19" i="18"/>
  <c r="J19" i="18"/>
  <c r="BL18" i="19"/>
  <c r="BM18" i="19" s="1"/>
  <c r="AA21" i="19"/>
  <c r="AP20" i="19"/>
  <c r="AS20" i="19"/>
  <c r="AM20" i="19"/>
  <c r="AQ20" i="19"/>
  <c r="AL20" i="19"/>
  <c r="AH20" i="19"/>
  <c r="AB21" i="19"/>
  <c r="AU20" i="19"/>
  <c r="AK20" i="19"/>
  <c r="Z21" i="19"/>
  <c r="AT20" i="19"/>
  <c r="AJ20" i="19"/>
  <c r="AN20" i="19"/>
  <c r="AO20" i="19"/>
  <c r="AG20" i="19"/>
  <c r="AR20" i="19"/>
  <c r="Y21" i="19"/>
  <c r="AI20" i="19"/>
  <c r="O20" i="18" l="1"/>
  <c r="P20" i="18"/>
  <c r="T20" i="18"/>
  <c r="AE21" i="19"/>
  <c r="AC21" i="19"/>
  <c r="AF21" i="19"/>
  <c r="BJ20" i="19"/>
  <c r="BI20" i="19"/>
  <c r="AX20" i="19"/>
  <c r="K21" i="18" s="1"/>
  <c r="AY20" i="19"/>
  <c r="L21" i="18" s="1"/>
  <c r="BH20" i="19"/>
  <c r="S21" i="18" s="1"/>
  <c r="BG20" i="19"/>
  <c r="R21" i="18" s="1"/>
  <c r="BD20" i="19"/>
  <c r="BF20" i="19"/>
  <c r="Q21" i="18" s="1"/>
  <c r="BC20" i="19"/>
  <c r="BE20" i="19"/>
  <c r="AZ20" i="19"/>
  <c r="M21" i="18" s="1"/>
  <c r="AW20" i="19"/>
  <c r="BA20" i="19"/>
  <c r="N21" i="18" s="1"/>
  <c r="BB20" i="19"/>
  <c r="BK20" i="19"/>
  <c r="W23" i="19"/>
  <c r="X22" i="19"/>
  <c r="BL19" i="19"/>
  <c r="BM19" i="19" s="1"/>
  <c r="J20" i="18"/>
  <c r="S20" i="18"/>
  <c r="AP21" i="19"/>
  <c r="AU21" i="19"/>
  <c r="AN21" i="19"/>
  <c r="AR21" i="19"/>
  <c r="Z22" i="19"/>
  <c r="AB22" i="19"/>
  <c r="AG21" i="19"/>
  <c r="AS21" i="19"/>
  <c r="AA22" i="19"/>
  <c r="AJ21" i="19"/>
  <c r="AK21" i="19"/>
  <c r="AQ21" i="19"/>
  <c r="AO21" i="19"/>
  <c r="AH21" i="19"/>
  <c r="AI21" i="19"/>
  <c r="AM21" i="19"/>
  <c r="AL21" i="19"/>
  <c r="AT21" i="19"/>
  <c r="Y22" i="19"/>
  <c r="O21" i="18" l="1"/>
  <c r="AF22" i="19"/>
  <c r="AE22" i="19"/>
  <c r="AC22" i="19"/>
  <c r="BE21" i="19"/>
  <c r="BD21" i="19"/>
  <c r="AZ21" i="19"/>
  <c r="M22" i="18" s="1"/>
  <c r="BH21" i="19"/>
  <c r="BC21" i="19"/>
  <c r="BG21" i="19"/>
  <c r="R22" i="18" s="1"/>
  <c r="BI21" i="19"/>
  <c r="AW21" i="19"/>
  <c r="BB21" i="19"/>
  <c r="AX21" i="19"/>
  <c r="K22" i="18" s="1"/>
  <c r="BF21" i="19"/>
  <c r="Q22" i="18" s="1"/>
  <c r="AY21" i="19"/>
  <c r="L22" i="18" s="1"/>
  <c r="BJ21" i="19"/>
  <c r="BA21" i="19"/>
  <c r="N22" i="18" s="1"/>
  <c r="BK21" i="19"/>
  <c r="T21" i="18"/>
  <c r="X23" i="19"/>
  <c r="W24" i="19"/>
  <c r="BL20" i="19"/>
  <c r="BM20" i="19" s="1"/>
  <c r="J21" i="18"/>
  <c r="P21" i="18"/>
  <c r="AT22" i="19"/>
  <c r="AS22" i="19"/>
  <c r="AG22" i="19"/>
  <c r="AA23" i="19"/>
  <c r="AO22" i="19"/>
  <c r="AJ22" i="19"/>
  <c r="AL22" i="19"/>
  <c r="Y23" i="19"/>
  <c r="AM22" i="19"/>
  <c r="Z23" i="19"/>
  <c r="AN22" i="19"/>
  <c r="AR22" i="19"/>
  <c r="AP22" i="19"/>
  <c r="AI22" i="19"/>
  <c r="AH22" i="19"/>
  <c r="AQ22" i="19"/>
  <c r="AK22" i="19"/>
  <c r="AU22" i="19"/>
  <c r="AB23" i="19"/>
  <c r="O22" i="18" l="1"/>
  <c r="P22" i="18"/>
  <c r="U19" i="18"/>
  <c r="AE23" i="19"/>
  <c r="AC23" i="19"/>
  <c r="AF23" i="19"/>
  <c r="BA22" i="19"/>
  <c r="N23" i="18" s="1"/>
  <c r="BH22" i="19"/>
  <c r="BI22" i="19"/>
  <c r="AY22" i="19"/>
  <c r="L23" i="18" s="1"/>
  <c r="BJ22" i="19"/>
  <c r="BE22" i="19"/>
  <c r="AZ22" i="19"/>
  <c r="M23" i="18" s="1"/>
  <c r="BC22" i="19"/>
  <c r="BB22" i="19"/>
  <c r="BG22" i="19"/>
  <c r="R23" i="18" s="1"/>
  <c r="BD22" i="19"/>
  <c r="AX22" i="19"/>
  <c r="K23" i="18" s="1"/>
  <c r="BF22" i="19"/>
  <c r="Q23" i="18" s="1"/>
  <c r="BK22" i="19"/>
  <c r="AW22" i="19"/>
  <c r="T22" i="18"/>
  <c r="J22" i="18"/>
  <c r="BL21" i="19"/>
  <c r="BM21" i="19" s="1"/>
  <c r="S22" i="18"/>
  <c r="X24" i="19"/>
  <c r="W25" i="19"/>
  <c r="AS23" i="19"/>
  <c r="AG23" i="19"/>
  <c r="AQ23" i="19"/>
  <c r="AI23" i="19"/>
  <c r="AB24" i="19"/>
  <c r="AM23" i="19"/>
  <c r="AP23" i="19"/>
  <c r="AR23" i="19"/>
  <c r="AU23" i="19"/>
  <c r="AJ23" i="19"/>
  <c r="AT23" i="19"/>
  <c r="AO23" i="19"/>
  <c r="AH23" i="19"/>
  <c r="Z24" i="19"/>
  <c r="AL23" i="19"/>
  <c r="Y24" i="19"/>
  <c r="AA24" i="19"/>
  <c r="AK23" i="19"/>
  <c r="AN23" i="19"/>
  <c r="P23" i="18" l="1"/>
  <c r="S23" i="18"/>
  <c r="O23" i="18"/>
  <c r="AF24" i="19"/>
  <c r="AC24" i="19"/>
  <c r="AE24" i="19"/>
  <c r="BG23" i="19"/>
  <c r="R24" i="18" s="1"/>
  <c r="BF23" i="19"/>
  <c r="Q24" i="18" s="1"/>
  <c r="BA23" i="19"/>
  <c r="N24" i="18" s="1"/>
  <c r="BB23" i="19"/>
  <c r="AZ23" i="19"/>
  <c r="M24" i="18" s="1"/>
  <c r="BH23" i="19"/>
  <c r="BJ23" i="19"/>
  <c r="AX23" i="19"/>
  <c r="K24" i="18" s="1"/>
  <c r="BC23" i="19"/>
  <c r="BI23" i="19"/>
  <c r="BE23" i="19"/>
  <c r="BK23" i="19"/>
  <c r="AY23" i="19"/>
  <c r="L24" i="18" s="1"/>
  <c r="AW23" i="19"/>
  <c r="BD23" i="19"/>
  <c r="P24" i="18" s="1"/>
  <c r="T23" i="18"/>
  <c r="BL22" i="19"/>
  <c r="BM22" i="19" s="1"/>
  <c r="J23" i="18"/>
  <c r="X25" i="19"/>
  <c r="W26" i="19"/>
  <c r="Y25" i="19"/>
  <c r="AB25" i="19"/>
  <c r="AS24" i="19"/>
  <c r="AU24" i="19"/>
  <c r="AK24" i="19"/>
  <c r="AG24" i="19"/>
  <c r="AP24" i="19"/>
  <c r="AJ24" i="19"/>
  <c r="AA25" i="19"/>
  <c r="AR24" i="19"/>
  <c r="AH24" i="19"/>
  <c r="AM24" i="19"/>
  <c r="AO24" i="19"/>
  <c r="AN24" i="19"/>
  <c r="AT24" i="19"/>
  <c r="Z25" i="19"/>
  <c r="AL24" i="19"/>
  <c r="AI24" i="19"/>
  <c r="AQ24" i="19"/>
  <c r="AC25" i="19" l="1"/>
  <c r="AE25" i="19"/>
  <c r="AF25" i="19"/>
  <c r="BK24" i="19"/>
  <c r="BB24" i="19"/>
  <c r="BA24" i="19"/>
  <c r="N25" i="18" s="1"/>
  <c r="BD24" i="19"/>
  <c r="BI24" i="19"/>
  <c r="BG24" i="19"/>
  <c r="R25" i="18" s="1"/>
  <c r="BJ24" i="19"/>
  <c r="BF24" i="19"/>
  <c r="Q25" i="18" s="1"/>
  <c r="BH24" i="19"/>
  <c r="S25" i="18" s="1"/>
  <c r="AY24" i="19"/>
  <c r="L25" i="18" s="1"/>
  <c r="AX24" i="19"/>
  <c r="K25" i="18" s="1"/>
  <c r="AW24" i="19"/>
  <c r="AZ24" i="19"/>
  <c r="M25" i="18" s="1"/>
  <c r="BE24" i="19"/>
  <c r="BC24" i="19"/>
  <c r="X26" i="19"/>
  <c r="W27" i="19"/>
  <c r="O24" i="18"/>
  <c r="T24" i="18"/>
  <c r="BL23" i="19"/>
  <c r="BM23" i="19" s="1"/>
  <c r="J24" i="18"/>
  <c r="S24" i="18"/>
  <c r="AJ25" i="19"/>
  <c r="AG25" i="19"/>
  <c r="AB26" i="19"/>
  <c r="AN25" i="19"/>
  <c r="Y26" i="19"/>
  <c r="AM25" i="19"/>
  <c r="AR25" i="19"/>
  <c r="AH25" i="19"/>
  <c r="AK25" i="19"/>
  <c r="AA26" i="19"/>
  <c r="AP25" i="19"/>
  <c r="AI25" i="19"/>
  <c r="AS25" i="19"/>
  <c r="AT25" i="19"/>
  <c r="AL25" i="19"/>
  <c r="AU25" i="19"/>
  <c r="AQ25" i="19"/>
  <c r="AO25" i="19"/>
  <c r="Z26" i="19"/>
  <c r="U22" i="18" l="1"/>
  <c r="AC26" i="19"/>
  <c r="AE26" i="19"/>
  <c r="AF26" i="19"/>
  <c r="BH25" i="19"/>
  <c r="AZ25" i="19"/>
  <c r="M26" i="18" s="1"/>
  <c r="BB25" i="19"/>
  <c r="BJ25" i="19"/>
  <c r="AW25" i="19"/>
  <c r="BA25" i="19"/>
  <c r="N26" i="18" s="1"/>
  <c r="AY25" i="19"/>
  <c r="L26" i="18" s="1"/>
  <c r="BG25" i="19"/>
  <c r="R26" i="18" s="1"/>
  <c r="BK25" i="19"/>
  <c r="BD25" i="19"/>
  <c r="BF25" i="19"/>
  <c r="Q26" i="18" s="1"/>
  <c r="AX25" i="19"/>
  <c r="K26" i="18" s="1"/>
  <c r="BI25" i="19"/>
  <c r="BC25" i="19"/>
  <c r="BE25" i="19"/>
  <c r="J25" i="18"/>
  <c r="BL24" i="19"/>
  <c r="BM24" i="19" s="1"/>
  <c r="P25" i="18"/>
  <c r="T25" i="18"/>
  <c r="W28" i="19"/>
  <c r="X27" i="19"/>
  <c r="O25" i="18"/>
  <c r="Z27" i="19"/>
  <c r="AM26" i="19"/>
  <c r="AQ26" i="19"/>
  <c r="AU26" i="19"/>
  <c r="AH26" i="19"/>
  <c r="AG26" i="19"/>
  <c r="AN26" i="19"/>
  <c r="AK26" i="19"/>
  <c r="AO26" i="19"/>
  <c r="AA27" i="19"/>
  <c r="AB27" i="19"/>
  <c r="AR26" i="19"/>
  <c r="AJ26" i="19"/>
  <c r="AL26" i="19"/>
  <c r="AT26" i="19"/>
  <c r="AI26" i="19"/>
  <c r="Y27" i="19"/>
  <c r="AP26" i="19"/>
  <c r="AS26" i="19"/>
  <c r="P26" i="18" l="1"/>
  <c r="AC27" i="19"/>
  <c r="AF27" i="19"/>
  <c r="AE27" i="19"/>
  <c r="BJ26" i="19"/>
  <c r="AX26" i="19"/>
  <c r="K27" i="18" s="1"/>
  <c r="BH26" i="19"/>
  <c r="BG26" i="19"/>
  <c r="R27" i="18" s="1"/>
  <c r="BE26" i="19"/>
  <c r="BF26" i="19"/>
  <c r="Q27" i="18" s="1"/>
  <c r="BA26" i="19"/>
  <c r="N27" i="18" s="1"/>
  <c r="BD26" i="19"/>
  <c r="BK26" i="19"/>
  <c r="AW26" i="19"/>
  <c r="AZ26" i="19"/>
  <c r="M27" i="18" s="1"/>
  <c r="BC26" i="19"/>
  <c r="BI26" i="19"/>
  <c r="AY26" i="19"/>
  <c r="L27" i="18" s="1"/>
  <c r="BB26" i="19"/>
  <c r="S26" i="18"/>
  <c r="T26" i="18"/>
  <c r="X28" i="19"/>
  <c r="W29" i="19"/>
  <c r="J26" i="18"/>
  <c r="BL25" i="19"/>
  <c r="BM25" i="19" s="1"/>
  <c r="O26" i="18"/>
  <c r="Y28" i="19"/>
  <c r="AL27" i="19"/>
  <c r="AN27" i="19"/>
  <c r="AG27" i="19"/>
  <c r="Z28" i="19"/>
  <c r="AQ27" i="19"/>
  <c r="AK27" i="19"/>
  <c r="AP27" i="19"/>
  <c r="AJ27" i="19"/>
  <c r="AT27" i="19"/>
  <c r="AI27" i="19"/>
  <c r="AO27" i="19"/>
  <c r="AM27" i="19"/>
  <c r="AB28" i="19"/>
  <c r="AS27" i="19"/>
  <c r="AU27" i="19"/>
  <c r="AR27" i="19"/>
  <c r="AA28" i="19"/>
  <c r="AH27" i="19"/>
  <c r="O27" i="18" l="1"/>
  <c r="P27" i="18"/>
  <c r="AF28" i="19"/>
  <c r="AE28" i="19"/>
  <c r="AC28" i="19"/>
  <c r="BK27" i="19"/>
  <c r="AZ27" i="19"/>
  <c r="M28" i="18" s="1"/>
  <c r="BD27" i="19"/>
  <c r="BA27" i="19"/>
  <c r="N28" i="18" s="1"/>
  <c r="BI27" i="19"/>
  <c r="AX27" i="19"/>
  <c r="K28" i="18" s="1"/>
  <c r="BE27" i="19"/>
  <c r="BG27" i="19"/>
  <c r="R28" i="18" s="1"/>
  <c r="BC27" i="19"/>
  <c r="BF27" i="19"/>
  <c r="Q28" i="18" s="1"/>
  <c r="BH27" i="19"/>
  <c r="BJ27" i="19"/>
  <c r="BB27" i="19"/>
  <c r="O28" i="18" s="1"/>
  <c r="AY27" i="19"/>
  <c r="L28" i="18" s="1"/>
  <c r="AW27" i="19"/>
  <c r="T27" i="18"/>
  <c r="X29" i="19"/>
  <c r="W30" i="19"/>
  <c r="S27" i="18"/>
  <c r="J27" i="18"/>
  <c r="BL26" i="19"/>
  <c r="BM26" i="19" s="1"/>
  <c r="Y29" i="19"/>
  <c r="AK28" i="19"/>
  <c r="AT28" i="19"/>
  <c r="AP28" i="19"/>
  <c r="AJ28" i="19"/>
  <c r="AN28" i="19"/>
  <c r="AL28" i="19"/>
  <c r="AR28" i="19"/>
  <c r="Z29" i="19"/>
  <c r="AB29" i="19"/>
  <c r="AH28" i="19"/>
  <c r="AU28" i="19"/>
  <c r="AQ28" i="19"/>
  <c r="AM28" i="19"/>
  <c r="AS28" i="19"/>
  <c r="AA29" i="19"/>
  <c r="AG28" i="19"/>
  <c r="AO28" i="19"/>
  <c r="AI28" i="19"/>
  <c r="U25" i="18" l="1"/>
  <c r="AC29" i="19"/>
  <c r="AF29" i="19"/>
  <c r="AE29" i="19"/>
  <c r="BA28" i="19"/>
  <c r="N29" i="18" s="1"/>
  <c r="BG28" i="19"/>
  <c r="R29" i="18" s="1"/>
  <c r="BB28" i="19"/>
  <c r="AW28" i="19"/>
  <c r="BH28" i="19"/>
  <c r="BF28" i="19"/>
  <c r="Q29" i="18" s="1"/>
  <c r="BJ28" i="19"/>
  <c r="BD28" i="19"/>
  <c r="BE28" i="19"/>
  <c r="AX28" i="19"/>
  <c r="K29" i="18" s="1"/>
  <c r="AY28" i="19"/>
  <c r="L29" i="18" s="1"/>
  <c r="BC28" i="19"/>
  <c r="AZ28" i="19"/>
  <c r="M29" i="18" s="1"/>
  <c r="BK28" i="19"/>
  <c r="BI28" i="19"/>
  <c r="W31" i="19"/>
  <c r="X30" i="19"/>
  <c r="J28" i="18"/>
  <c r="BL27" i="19"/>
  <c r="BM27" i="19" s="1"/>
  <c r="S28" i="18"/>
  <c r="P28" i="18"/>
  <c r="T28" i="18"/>
  <c r="AQ29" i="19"/>
  <c r="AH29" i="19"/>
  <c r="AS29" i="19"/>
  <c r="AR29" i="19"/>
  <c r="AL29" i="19"/>
  <c r="AO29" i="19"/>
  <c r="Z30" i="19"/>
  <c r="AM29" i="19"/>
  <c r="Y30" i="19"/>
  <c r="AA30" i="19"/>
  <c r="AK29" i="19"/>
  <c r="AJ29" i="19"/>
  <c r="AI29" i="19"/>
  <c r="AT29" i="19"/>
  <c r="AU29" i="19"/>
  <c r="AN29" i="19"/>
  <c r="AP29" i="19"/>
  <c r="AB30" i="19"/>
  <c r="AG29" i="19"/>
  <c r="S29" i="18" l="1"/>
  <c r="AZ29" i="19"/>
  <c r="M30" i="18" s="1"/>
  <c r="AW29" i="19"/>
  <c r="BD29" i="19"/>
  <c r="AY29" i="19"/>
  <c r="L30" i="18" s="1"/>
  <c r="BK29" i="19"/>
  <c r="BA29" i="19"/>
  <c r="N30" i="18" s="1"/>
  <c r="BH29" i="19"/>
  <c r="BG29" i="19"/>
  <c r="R30" i="18" s="1"/>
  <c r="BC29" i="19"/>
  <c r="BB29" i="19"/>
  <c r="BF29" i="19"/>
  <c r="Q30" i="18" s="1"/>
  <c r="BI29" i="19"/>
  <c r="BJ29" i="19"/>
  <c r="BE29" i="19"/>
  <c r="AX29" i="19"/>
  <c r="K30" i="18" s="1"/>
  <c r="AF30" i="19"/>
  <c r="AE30" i="19"/>
  <c r="AC30" i="19"/>
  <c r="P29" i="18"/>
  <c r="J29" i="18"/>
  <c r="BL28" i="19"/>
  <c r="BM28" i="19" s="1"/>
  <c r="T29" i="18"/>
  <c r="O29" i="18"/>
  <c r="W32" i="19"/>
  <c r="X31" i="19"/>
  <c r="AP30" i="19"/>
  <c r="AG30" i="19"/>
  <c r="AJ30" i="19"/>
  <c r="AR30" i="19"/>
  <c r="AO30" i="19"/>
  <c r="AL30" i="19"/>
  <c r="AU30" i="19"/>
  <c r="AK30" i="19"/>
  <c r="Y31" i="19"/>
  <c r="AM30" i="19"/>
  <c r="AA31" i="19"/>
  <c r="AN30" i="19"/>
  <c r="Z31" i="19"/>
  <c r="AI30" i="19"/>
  <c r="AH30" i="19"/>
  <c r="AQ30" i="19"/>
  <c r="AB31" i="19"/>
  <c r="AS30" i="19"/>
  <c r="AT30" i="19"/>
  <c r="T30" i="18" l="1"/>
  <c r="BI30" i="19"/>
  <c r="BK30" i="19"/>
  <c r="BA30" i="19"/>
  <c r="N31" i="18" s="1"/>
  <c r="BC30" i="19"/>
  <c r="BG30" i="19"/>
  <c r="R31" i="18" s="1"/>
  <c r="AX30" i="19"/>
  <c r="K31" i="18" s="1"/>
  <c r="BJ30" i="19"/>
  <c r="BB30" i="19"/>
  <c r="AW30" i="19"/>
  <c r="BF30" i="19"/>
  <c r="Q31" i="18" s="1"/>
  <c r="AZ30" i="19"/>
  <c r="M31" i="18" s="1"/>
  <c r="BH30" i="19"/>
  <c r="BD30" i="19"/>
  <c r="AY30" i="19"/>
  <c r="L31" i="18" s="1"/>
  <c r="BE30" i="19"/>
  <c r="AC31" i="19"/>
  <c r="AE31" i="19"/>
  <c r="AF31" i="19"/>
  <c r="S30" i="18"/>
  <c r="P30" i="18"/>
  <c r="O30" i="18"/>
  <c r="J30" i="18"/>
  <c r="BL29" i="19"/>
  <c r="BM29" i="19" s="1"/>
  <c r="W33" i="19"/>
  <c r="X32" i="19"/>
  <c r="Y32" i="19"/>
  <c r="AQ31" i="19"/>
  <c r="AT31" i="19"/>
  <c r="AP31" i="19"/>
  <c r="AB32" i="19"/>
  <c r="AN31" i="19"/>
  <c r="AI31" i="19"/>
  <c r="AM31" i="19"/>
  <c r="AS31" i="19"/>
  <c r="AA32" i="19"/>
  <c r="AK31" i="19"/>
  <c r="AH31" i="19"/>
  <c r="AJ31" i="19"/>
  <c r="Z32" i="19"/>
  <c r="AL31" i="19"/>
  <c r="AU31" i="19"/>
  <c r="AG31" i="19"/>
  <c r="AO31" i="19"/>
  <c r="AR31" i="19"/>
  <c r="O31" i="18" l="1"/>
  <c r="U28" i="18"/>
  <c r="S31" i="18"/>
  <c r="T31" i="18"/>
  <c r="AE32" i="19"/>
  <c r="AC32" i="19"/>
  <c r="AF32" i="19"/>
  <c r="BB31" i="19"/>
  <c r="AX31" i="19"/>
  <c r="K32" i="18" s="1"/>
  <c r="BH31" i="19"/>
  <c r="AY31" i="19"/>
  <c r="L32" i="18" s="1"/>
  <c r="BD31" i="19"/>
  <c r="AZ31" i="19"/>
  <c r="M32" i="18" s="1"/>
  <c r="BG31" i="19"/>
  <c r="R32" i="18" s="1"/>
  <c r="BI31" i="19"/>
  <c r="BE31" i="19"/>
  <c r="AW31" i="19"/>
  <c r="BC31" i="19"/>
  <c r="BF31" i="19"/>
  <c r="Q32" i="18" s="1"/>
  <c r="BA31" i="19"/>
  <c r="N32" i="18" s="1"/>
  <c r="BJ31" i="19"/>
  <c r="BK31" i="19"/>
  <c r="W34" i="19"/>
  <c r="X33" i="19"/>
  <c r="P31" i="18"/>
  <c r="J31" i="18"/>
  <c r="BL30" i="19"/>
  <c r="BM30" i="19" s="1"/>
  <c r="AJ32" i="19"/>
  <c r="AQ32" i="19"/>
  <c r="AU32" i="19"/>
  <c r="AP32" i="19"/>
  <c r="AR32" i="19"/>
  <c r="AN32" i="19"/>
  <c r="Y33" i="19"/>
  <c r="Z33" i="19"/>
  <c r="AH32" i="19"/>
  <c r="AM32" i="19"/>
  <c r="AA33" i="19"/>
  <c r="AI32" i="19"/>
  <c r="AB33" i="19"/>
  <c r="AO32" i="19"/>
  <c r="AK32" i="19"/>
  <c r="AT32" i="19"/>
  <c r="AL32" i="19"/>
  <c r="AS32" i="19"/>
  <c r="AG32" i="19"/>
  <c r="T32" i="18" l="1"/>
  <c r="AY32" i="19"/>
  <c r="L33" i="18" s="1"/>
  <c r="AX32" i="19"/>
  <c r="K33" i="18" s="1"/>
  <c r="BF32" i="19"/>
  <c r="Q33" i="18" s="1"/>
  <c r="BB32" i="19"/>
  <c r="AZ32" i="19"/>
  <c r="M33" i="18" s="1"/>
  <c r="BK32" i="19"/>
  <c r="BA32" i="19"/>
  <c r="N33" i="18" s="1"/>
  <c r="BI32" i="19"/>
  <c r="BC32" i="19"/>
  <c r="BJ32" i="19"/>
  <c r="T33" i="18" s="1"/>
  <c r="BE32" i="19"/>
  <c r="AW32" i="19"/>
  <c r="BH32" i="19"/>
  <c r="BD32" i="19"/>
  <c r="BG32" i="19"/>
  <c r="R33" i="18" s="1"/>
  <c r="AF33" i="19"/>
  <c r="AC33" i="19"/>
  <c r="AE33" i="19"/>
  <c r="X34" i="19"/>
  <c r="W35" i="19"/>
  <c r="P32" i="18"/>
  <c r="O32" i="18"/>
  <c r="S32" i="18"/>
  <c r="J32" i="18"/>
  <c r="BL31" i="19"/>
  <c r="BM31" i="19" s="1"/>
  <c r="AN33" i="19"/>
  <c r="AR33" i="19"/>
  <c r="AB34" i="19"/>
  <c r="AI33" i="19"/>
  <c r="AK33" i="19"/>
  <c r="AL33" i="19"/>
  <c r="AT33" i="19"/>
  <c r="Z34" i="19"/>
  <c r="AG33" i="19"/>
  <c r="AA34" i="19"/>
  <c r="AO33" i="19"/>
  <c r="AM33" i="19"/>
  <c r="AP33" i="19"/>
  <c r="AU33" i="19"/>
  <c r="Y34" i="19"/>
  <c r="AS33" i="19"/>
  <c r="AJ33" i="19"/>
  <c r="AQ33" i="19"/>
  <c r="AH33" i="19"/>
  <c r="S33" i="18" l="1"/>
  <c r="P33" i="18"/>
  <c r="AE34" i="19"/>
  <c r="AF34" i="19"/>
  <c r="AC34" i="19"/>
  <c r="BG33" i="19"/>
  <c r="R34" i="18" s="1"/>
  <c r="BE33" i="19"/>
  <c r="AZ33" i="19"/>
  <c r="M34" i="18" s="1"/>
  <c r="BB33" i="19"/>
  <c r="BF33" i="19"/>
  <c r="Q34" i="18" s="1"/>
  <c r="AW33" i="19"/>
  <c r="BH33" i="19"/>
  <c r="BI33" i="19"/>
  <c r="BD33" i="19"/>
  <c r="BC33" i="19"/>
  <c r="BK33" i="19"/>
  <c r="BA33" i="19"/>
  <c r="N34" i="18" s="1"/>
  <c r="AX33" i="19"/>
  <c r="K34" i="18" s="1"/>
  <c r="AY33" i="19"/>
  <c r="L34" i="18" s="1"/>
  <c r="BJ33" i="19"/>
  <c r="T34" i="18" s="1"/>
  <c r="BL32" i="19"/>
  <c r="BM32" i="19" s="1"/>
  <c r="J33" i="18"/>
  <c r="O33" i="18"/>
  <c r="X35" i="19"/>
  <c r="W36" i="19"/>
  <c r="AQ34" i="19"/>
  <c r="AT34" i="19"/>
  <c r="AN34" i="19"/>
  <c r="AP34" i="19"/>
  <c r="AI34" i="19"/>
  <c r="AM34" i="19"/>
  <c r="AK34" i="19"/>
  <c r="AU34" i="19"/>
  <c r="AH34" i="19"/>
  <c r="AL34" i="19"/>
  <c r="AS34" i="19"/>
  <c r="AJ34" i="19"/>
  <c r="AR34" i="19"/>
  <c r="Z35" i="19"/>
  <c r="Y35" i="19"/>
  <c r="AG34" i="19"/>
  <c r="AB35" i="19"/>
  <c r="AO34" i="19"/>
  <c r="AA35" i="19"/>
  <c r="U31" i="18" l="1"/>
  <c r="S34" i="18"/>
  <c r="P34" i="18"/>
  <c r="O34" i="18"/>
  <c r="AE35" i="19"/>
  <c r="AF35" i="19"/>
  <c r="AC35" i="19"/>
  <c r="BB34" i="19"/>
  <c r="BH34" i="19"/>
  <c r="BG34" i="19"/>
  <c r="R35" i="18" s="1"/>
  <c r="BI34" i="19"/>
  <c r="BE34" i="19"/>
  <c r="AZ34" i="19"/>
  <c r="M35" i="18" s="1"/>
  <c r="AY34" i="19"/>
  <c r="L35" i="18" s="1"/>
  <c r="BC34" i="19"/>
  <c r="BD34" i="19"/>
  <c r="BF34" i="19"/>
  <c r="Q35" i="18" s="1"/>
  <c r="BK34" i="19"/>
  <c r="AX34" i="19"/>
  <c r="K35" i="18" s="1"/>
  <c r="BA34" i="19"/>
  <c r="N35" i="18" s="1"/>
  <c r="BJ34" i="19"/>
  <c r="AW34" i="19"/>
  <c r="W37" i="19"/>
  <c r="X36" i="19"/>
  <c r="BL33" i="19"/>
  <c r="BM33" i="19" s="1"/>
  <c r="J34" i="18"/>
  <c r="AR35" i="19"/>
  <c r="AA36" i="19"/>
  <c r="AS35" i="19"/>
  <c r="AP35" i="19"/>
  <c r="AB36" i="19"/>
  <c r="AO35" i="19"/>
  <c r="AN35" i="19"/>
  <c r="AT35" i="19"/>
  <c r="AU35" i="19"/>
  <c r="AG35" i="19"/>
  <c r="AI35" i="19"/>
  <c r="AH35" i="19"/>
  <c r="AK35" i="19"/>
  <c r="AQ35" i="19"/>
  <c r="Y36" i="19"/>
  <c r="AL35" i="19"/>
  <c r="AM35" i="19"/>
  <c r="AJ35" i="19"/>
  <c r="Z36" i="19"/>
  <c r="P35" i="18" l="1"/>
  <c r="T35" i="18"/>
  <c r="S35" i="18"/>
  <c r="O35" i="18"/>
  <c r="AW35" i="19"/>
  <c r="BI35" i="19"/>
  <c r="BF35" i="19"/>
  <c r="Q36" i="18" s="1"/>
  <c r="BD35" i="19"/>
  <c r="BK35" i="19"/>
  <c r="BE35" i="19"/>
  <c r="BJ35" i="19"/>
  <c r="BB35" i="19"/>
  <c r="BC35" i="19"/>
  <c r="AX35" i="19"/>
  <c r="K36" i="18" s="1"/>
  <c r="BG35" i="19"/>
  <c r="R36" i="18" s="1"/>
  <c r="AZ35" i="19"/>
  <c r="M36" i="18" s="1"/>
  <c r="AY35" i="19"/>
  <c r="L36" i="18" s="1"/>
  <c r="BH35" i="19"/>
  <c r="S36" i="18" s="1"/>
  <c r="BA35" i="19"/>
  <c r="N36" i="18" s="1"/>
  <c r="AC36" i="19"/>
  <c r="AF36" i="19"/>
  <c r="AE36" i="19"/>
  <c r="X37" i="19"/>
  <c r="W38" i="19"/>
  <c r="BL34" i="19"/>
  <c r="BM34" i="19" s="1"/>
  <c r="J35" i="18"/>
  <c r="AA37" i="19"/>
  <c r="Y37" i="19"/>
  <c r="AL36" i="19"/>
  <c r="Z37" i="19"/>
  <c r="AR36" i="19"/>
  <c r="AK36" i="19"/>
  <c r="AQ36" i="19"/>
  <c r="AB37" i="19"/>
  <c r="AN36" i="19"/>
  <c r="AJ36" i="19"/>
  <c r="AH36" i="19"/>
  <c r="AO36" i="19"/>
  <c r="AM36" i="19"/>
  <c r="AG36" i="19"/>
  <c r="AS36" i="19"/>
  <c r="AT36" i="19"/>
  <c r="AP36" i="19"/>
  <c r="AI36" i="19"/>
  <c r="AU36" i="19"/>
  <c r="T36" i="18" l="1"/>
  <c r="O36" i="18"/>
  <c r="P36" i="18"/>
  <c r="AF37" i="19"/>
  <c r="AC37" i="19"/>
  <c r="AE37" i="19"/>
  <c r="BC36" i="19"/>
  <c r="BD36" i="19"/>
  <c r="BJ36" i="19"/>
  <c r="BF36" i="19"/>
  <c r="Q37" i="18" s="1"/>
  <c r="BK36" i="19"/>
  <c r="BB36" i="19"/>
  <c r="BI36" i="19"/>
  <c r="AY36" i="19"/>
  <c r="L37" i="18" s="1"/>
  <c r="BE36" i="19"/>
  <c r="AX36" i="19"/>
  <c r="K37" i="18" s="1"/>
  <c r="BG36" i="19"/>
  <c r="R37" i="18" s="1"/>
  <c r="AW36" i="19"/>
  <c r="BH36" i="19"/>
  <c r="AZ36" i="19"/>
  <c r="M37" i="18" s="1"/>
  <c r="BA36" i="19"/>
  <c r="N37" i="18" s="1"/>
  <c r="X38" i="19"/>
  <c r="W39" i="19"/>
  <c r="J36" i="18"/>
  <c r="BL35" i="19"/>
  <c r="BM35" i="19" s="1"/>
  <c r="AU37" i="19"/>
  <c r="AT37" i="19"/>
  <c r="AK37" i="19"/>
  <c r="AI37" i="19"/>
  <c r="AL37" i="19"/>
  <c r="AG37" i="19"/>
  <c r="Z38" i="19"/>
  <c r="Y38" i="19"/>
  <c r="AP37" i="19"/>
  <c r="AH37" i="19"/>
  <c r="AB38" i="19"/>
  <c r="AN37" i="19"/>
  <c r="AQ37" i="19"/>
  <c r="AS37" i="19"/>
  <c r="AJ37" i="19"/>
  <c r="AA38" i="19"/>
  <c r="AM37" i="19"/>
  <c r="AO37" i="19"/>
  <c r="AR37" i="19"/>
  <c r="U34" i="18" l="1"/>
  <c r="S37" i="18"/>
  <c r="AF38" i="19"/>
  <c r="AE38" i="19"/>
  <c r="AC38" i="19"/>
  <c r="BD37" i="19"/>
  <c r="BC37" i="19"/>
  <c r="AY37" i="19"/>
  <c r="L38" i="18" s="1"/>
  <c r="BF37" i="19"/>
  <c r="Q38" i="18" s="1"/>
  <c r="BK37" i="19"/>
  <c r="BI37" i="19"/>
  <c r="BB37" i="19"/>
  <c r="BA37" i="19"/>
  <c r="N38" i="18" s="1"/>
  <c r="AZ37" i="19"/>
  <c r="M38" i="18" s="1"/>
  <c r="BH37" i="19"/>
  <c r="BJ37" i="19"/>
  <c r="BE37" i="19"/>
  <c r="AX37" i="19"/>
  <c r="K38" i="18" s="1"/>
  <c r="BG37" i="19"/>
  <c r="R38" i="18" s="1"/>
  <c r="AW37" i="19"/>
  <c r="X39" i="19"/>
  <c r="W40" i="19"/>
  <c r="BL36" i="19"/>
  <c r="BM36" i="19" s="1"/>
  <c r="J37" i="18"/>
  <c r="T37" i="18"/>
  <c r="O37" i="18"/>
  <c r="P37" i="18"/>
  <c r="AQ38" i="19"/>
  <c r="Z39" i="19"/>
  <c r="AO38" i="19"/>
  <c r="AB39" i="19"/>
  <c r="AG38" i="19"/>
  <c r="AI38" i="19"/>
  <c r="AN38" i="19"/>
  <c r="AK38" i="19"/>
  <c r="AP38" i="19"/>
  <c r="AT38" i="19"/>
  <c r="AJ38" i="19"/>
  <c r="Y39" i="19"/>
  <c r="AR38" i="19"/>
  <c r="AA39" i="19"/>
  <c r="AL38" i="19"/>
  <c r="AS38" i="19"/>
  <c r="AM38" i="19"/>
  <c r="AU38" i="19"/>
  <c r="AH38" i="19"/>
  <c r="S38" i="18" l="1"/>
  <c r="O38" i="18"/>
  <c r="P38" i="18"/>
  <c r="AE39" i="19"/>
  <c r="AF39" i="19"/>
  <c r="AC39" i="19"/>
  <c r="BD38" i="19"/>
  <c r="BC38" i="19"/>
  <c r="BK38" i="19"/>
  <c r="BH38" i="19"/>
  <c r="AY38" i="19"/>
  <c r="L39" i="18" s="1"/>
  <c r="BA38" i="19"/>
  <c r="N39" i="18" s="1"/>
  <c r="BB38" i="19"/>
  <c r="BF38" i="19"/>
  <c r="Q39" i="18" s="1"/>
  <c r="AX38" i="19"/>
  <c r="K39" i="18" s="1"/>
  <c r="AZ38" i="19"/>
  <c r="M39" i="18" s="1"/>
  <c r="BG38" i="19"/>
  <c r="R39" i="18" s="1"/>
  <c r="BI38" i="19"/>
  <c r="BE38" i="19"/>
  <c r="AW38" i="19"/>
  <c r="BJ38" i="19"/>
  <c r="W41" i="19"/>
  <c r="X40" i="19"/>
  <c r="T38" i="18"/>
  <c r="J38" i="18"/>
  <c r="BL37" i="19"/>
  <c r="BM37" i="19" s="1"/>
  <c r="AT39" i="19"/>
  <c r="AU39" i="19"/>
  <c r="AN39" i="19"/>
  <c r="AL39" i="19"/>
  <c r="AS39" i="19"/>
  <c r="Z40" i="19"/>
  <c r="AI39" i="19"/>
  <c r="AO39" i="19"/>
  <c r="AA40" i="19"/>
  <c r="AG39" i="19"/>
  <c r="AK39" i="19"/>
  <c r="AH39" i="19"/>
  <c r="AJ39" i="19"/>
  <c r="AR39" i="19"/>
  <c r="AM39" i="19"/>
  <c r="AB40" i="19"/>
  <c r="Y40" i="19"/>
  <c r="AP39" i="19"/>
  <c r="AQ39" i="19"/>
  <c r="T39" i="18" l="1"/>
  <c r="O39" i="18"/>
  <c r="AX39" i="19"/>
  <c r="K40" i="18" s="1"/>
  <c r="BF39" i="19"/>
  <c r="Q40" i="18" s="1"/>
  <c r="BK39" i="19"/>
  <c r="AZ39" i="19"/>
  <c r="M40" i="18" s="1"/>
  <c r="BI39" i="19"/>
  <c r="AW39" i="19"/>
  <c r="BJ39" i="19"/>
  <c r="T40" i="18" s="1"/>
  <c r="BB39" i="19"/>
  <c r="AY39" i="19"/>
  <c r="L40" i="18" s="1"/>
  <c r="BH39" i="19"/>
  <c r="BA39" i="19"/>
  <c r="N40" i="18" s="1"/>
  <c r="BD39" i="19"/>
  <c r="BE39" i="19"/>
  <c r="BC39" i="19"/>
  <c r="BG39" i="19"/>
  <c r="R40" i="18" s="1"/>
  <c r="AC40" i="19"/>
  <c r="AE40" i="19"/>
  <c r="AF40" i="19"/>
  <c r="P39" i="18"/>
  <c r="X41" i="19"/>
  <c r="W42" i="19"/>
  <c r="S39" i="18"/>
  <c r="J39" i="18"/>
  <c r="BL38" i="19"/>
  <c r="BM38" i="19" s="1"/>
  <c r="AP40" i="19"/>
  <c r="AQ40" i="19"/>
  <c r="AR40" i="19"/>
  <c r="AB41" i="19"/>
  <c r="AA41" i="19"/>
  <c r="AO40" i="19"/>
  <c r="AJ40" i="19"/>
  <c r="AT40" i="19"/>
  <c r="AM40" i="19"/>
  <c r="AG40" i="19"/>
  <c r="AK40" i="19"/>
  <c r="AL40" i="19"/>
  <c r="AN40" i="19"/>
  <c r="Y41" i="19"/>
  <c r="AI40" i="19"/>
  <c r="AH40" i="19"/>
  <c r="AU40" i="19"/>
  <c r="Z41" i="19"/>
  <c r="AS40" i="19"/>
  <c r="U37" i="18" l="1"/>
  <c r="S40" i="18"/>
  <c r="P40" i="18"/>
  <c r="O40" i="18"/>
  <c r="BH40" i="19"/>
  <c r="BJ40" i="19"/>
  <c r="BK40" i="19"/>
  <c r="BG40" i="19"/>
  <c r="R41" i="18" s="1"/>
  <c r="BA40" i="19"/>
  <c r="N41" i="18" s="1"/>
  <c r="BE40" i="19"/>
  <c r="BF40" i="19"/>
  <c r="Q41" i="18" s="1"/>
  <c r="AW40" i="19"/>
  <c r="BD40" i="19"/>
  <c r="BI40" i="19"/>
  <c r="AX40" i="19"/>
  <c r="K41" i="18" s="1"/>
  <c r="BB40" i="19"/>
  <c r="AZ40" i="19"/>
  <c r="M41" i="18" s="1"/>
  <c r="AY40" i="19"/>
  <c r="L41" i="18" s="1"/>
  <c r="BC40" i="19"/>
  <c r="AF41" i="19"/>
  <c r="AE41" i="19"/>
  <c r="AC41" i="19"/>
  <c r="W43" i="19"/>
  <c r="X42" i="19"/>
  <c r="BL39" i="19"/>
  <c r="BM39" i="19" s="1"/>
  <c r="J40" i="18"/>
  <c r="AQ41" i="19"/>
  <c r="Y42" i="19"/>
  <c r="AO41" i="19"/>
  <c r="AP41" i="19"/>
  <c r="AH41" i="19"/>
  <c r="AB42" i="19"/>
  <c r="AS41" i="19"/>
  <c r="AG41" i="19"/>
  <c r="AR41" i="19"/>
  <c r="AN41" i="19"/>
  <c r="AA42" i="19"/>
  <c r="Z42" i="19"/>
  <c r="AM41" i="19"/>
  <c r="AT41" i="19"/>
  <c r="AK41" i="19"/>
  <c r="AI41" i="19"/>
  <c r="AJ41" i="19"/>
  <c r="AL41" i="19"/>
  <c r="AU41" i="19"/>
  <c r="P41" i="18" l="1"/>
  <c r="T41" i="18"/>
  <c r="O41" i="18"/>
  <c r="AW41" i="19"/>
  <c r="AZ41" i="19"/>
  <c r="M42" i="18" s="1"/>
  <c r="BC41" i="19"/>
  <c r="BD41" i="19"/>
  <c r="BG41" i="19"/>
  <c r="R42" i="18" s="1"/>
  <c r="BF41" i="19"/>
  <c r="Q42" i="18" s="1"/>
  <c r="BB41" i="19"/>
  <c r="O42" i="18" s="1"/>
  <c r="BJ41" i="19"/>
  <c r="BK41" i="19"/>
  <c r="AY41" i="19"/>
  <c r="L42" i="18" s="1"/>
  <c r="BI41" i="19"/>
  <c r="BE41" i="19"/>
  <c r="AX41" i="19"/>
  <c r="K42" i="18" s="1"/>
  <c r="BH41" i="19"/>
  <c r="BA41" i="19"/>
  <c r="N42" i="18" s="1"/>
  <c r="AF42" i="19"/>
  <c r="AC42" i="19"/>
  <c r="AE42" i="19"/>
  <c r="X43" i="19"/>
  <c r="W44" i="19"/>
  <c r="BL40" i="19"/>
  <c r="BM40" i="19" s="1"/>
  <c r="J41" i="18"/>
  <c r="S41" i="18"/>
  <c r="AP42" i="19"/>
  <c r="AR42" i="19"/>
  <c r="Y43" i="19"/>
  <c r="Z43" i="19"/>
  <c r="AK42" i="19"/>
  <c r="AS42" i="19"/>
  <c r="AU42" i="19"/>
  <c r="AB43" i="19"/>
  <c r="AM42" i="19"/>
  <c r="AG42" i="19"/>
  <c r="AH42" i="19"/>
  <c r="AO42" i="19"/>
  <c r="AN42" i="19"/>
  <c r="AJ42" i="19"/>
  <c r="AT42" i="19"/>
  <c r="AI42" i="19"/>
  <c r="AL42" i="19"/>
  <c r="AQ42" i="19"/>
  <c r="AA43" i="19"/>
  <c r="T42" i="18" l="1"/>
  <c r="S42" i="18"/>
  <c r="AF43" i="19"/>
  <c r="AC43" i="19"/>
  <c r="AE43" i="19"/>
  <c r="AW42" i="19"/>
  <c r="AX42" i="19"/>
  <c r="K43" i="18" s="1"/>
  <c r="BH42" i="19"/>
  <c r="BA42" i="19"/>
  <c r="N43" i="18" s="1"/>
  <c r="BI42" i="19"/>
  <c r="BE42" i="19"/>
  <c r="AZ42" i="19"/>
  <c r="M43" i="18" s="1"/>
  <c r="BD42" i="19"/>
  <c r="BF42" i="19"/>
  <c r="Q43" i="18" s="1"/>
  <c r="BB42" i="19"/>
  <c r="AY42" i="19"/>
  <c r="L43" i="18" s="1"/>
  <c r="BK42" i="19"/>
  <c r="BC42" i="19"/>
  <c r="BG42" i="19"/>
  <c r="R43" i="18" s="1"/>
  <c r="BJ42" i="19"/>
  <c r="P42" i="18"/>
  <c r="X44" i="19"/>
  <c r="W45" i="19"/>
  <c r="J42" i="18"/>
  <c r="BL41" i="19"/>
  <c r="BM41" i="19" s="1"/>
  <c r="AB44" i="19"/>
  <c r="AG43" i="19"/>
  <c r="AJ43" i="19"/>
  <c r="AT43" i="19"/>
  <c r="AN43" i="19"/>
  <c r="AH43" i="19"/>
  <c r="Y44" i="19"/>
  <c r="AA44" i="19"/>
  <c r="Z44" i="19"/>
  <c r="AS43" i="19"/>
  <c r="AL43" i="19"/>
  <c r="AO43" i="19"/>
  <c r="AI43" i="19"/>
  <c r="AM43" i="19"/>
  <c r="AR43" i="19"/>
  <c r="AU43" i="19"/>
  <c r="AP43" i="19"/>
  <c r="AQ43" i="19"/>
  <c r="AK43" i="19"/>
  <c r="U40" i="18" l="1"/>
  <c r="T43" i="18"/>
  <c r="P43" i="18"/>
  <c r="AE44" i="19"/>
  <c r="AF44" i="19"/>
  <c r="AC44" i="19"/>
  <c r="BG43" i="19"/>
  <c r="R44" i="18" s="1"/>
  <c r="BK43" i="19"/>
  <c r="BH43" i="19"/>
  <c r="BD43" i="19"/>
  <c r="BI43" i="19"/>
  <c r="AZ43" i="19"/>
  <c r="M44" i="18" s="1"/>
  <c r="AX43" i="19"/>
  <c r="K44" i="18" s="1"/>
  <c r="AY43" i="19"/>
  <c r="L44" i="18" s="1"/>
  <c r="BA43" i="19"/>
  <c r="N44" i="18" s="1"/>
  <c r="BE43" i="19"/>
  <c r="AW43" i="19"/>
  <c r="BB43" i="19"/>
  <c r="BC43" i="19"/>
  <c r="BJ43" i="19"/>
  <c r="BF43" i="19"/>
  <c r="Q44" i="18" s="1"/>
  <c r="J43" i="18"/>
  <c r="BL42" i="19"/>
  <c r="BM42" i="19" s="1"/>
  <c r="X45" i="19"/>
  <c r="W46" i="19"/>
  <c r="S43" i="18"/>
  <c r="O43" i="18"/>
  <c r="AN44" i="19"/>
  <c r="AK44" i="19"/>
  <c r="AJ44" i="19"/>
  <c r="AS44" i="19"/>
  <c r="AM44" i="19"/>
  <c r="Z45" i="19"/>
  <c r="AB45" i="19"/>
  <c r="AT44" i="19"/>
  <c r="AQ44" i="19"/>
  <c r="AR44" i="19"/>
  <c r="AA45" i="19"/>
  <c r="AH44" i="19"/>
  <c r="Y45" i="19"/>
  <c r="AO44" i="19"/>
  <c r="AI44" i="19"/>
  <c r="AU44" i="19"/>
  <c r="AP44" i="19"/>
  <c r="AG44" i="19"/>
  <c r="AL44" i="19"/>
  <c r="T44" i="18" l="1"/>
  <c r="AE45" i="19"/>
  <c r="AC45" i="19"/>
  <c r="AF45" i="19"/>
  <c r="BE44" i="19"/>
  <c r="BI44" i="19"/>
  <c r="BH44" i="19"/>
  <c r="BD44" i="19"/>
  <c r="AX44" i="19"/>
  <c r="K45" i="18" s="1"/>
  <c r="BB44" i="19"/>
  <c r="BF44" i="19"/>
  <c r="Q45" i="18" s="1"/>
  <c r="BA44" i="19"/>
  <c r="N45" i="18" s="1"/>
  <c r="AZ44" i="19"/>
  <c r="M45" i="18" s="1"/>
  <c r="AW44" i="19"/>
  <c r="BC44" i="19"/>
  <c r="BK44" i="19"/>
  <c r="BJ44" i="19"/>
  <c r="AY44" i="19"/>
  <c r="L45" i="18" s="1"/>
  <c r="BG44" i="19"/>
  <c r="R45" i="18" s="1"/>
  <c r="W47" i="19"/>
  <c r="X46" i="19"/>
  <c r="O44" i="18"/>
  <c r="P44" i="18"/>
  <c r="J44" i="18"/>
  <c r="BL43" i="19"/>
  <c r="BM43" i="19" s="1"/>
  <c r="S44" i="18"/>
  <c r="AI45" i="19"/>
  <c r="AU45" i="19"/>
  <c r="AM45" i="19"/>
  <c r="AS45" i="19"/>
  <c r="AA46" i="19"/>
  <c r="AR45" i="19"/>
  <c r="AN45" i="19"/>
  <c r="AP45" i="19"/>
  <c r="Z46" i="19"/>
  <c r="AH45" i="19"/>
  <c r="AJ45" i="19"/>
  <c r="AQ45" i="19"/>
  <c r="AL45" i="19"/>
  <c r="AG45" i="19"/>
  <c r="AB46" i="19"/>
  <c r="AO45" i="19"/>
  <c r="Y46" i="19"/>
  <c r="AT45" i="19"/>
  <c r="AK45" i="19"/>
  <c r="T45" i="18" l="1"/>
  <c r="BJ45" i="19"/>
  <c r="AW45" i="19"/>
  <c r="AX45" i="19"/>
  <c r="K46" i="18" s="1"/>
  <c r="AZ45" i="19"/>
  <c r="M46" i="18" s="1"/>
  <c r="BA45" i="19"/>
  <c r="N46" i="18" s="1"/>
  <c r="BH45" i="19"/>
  <c r="BB45" i="19"/>
  <c r="BE45" i="19"/>
  <c r="BK45" i="19"/>
  <c r="BG45" i="19"/>
  <c r="R46" i="18" s="1"/>
  <c r="BD45" i="19"/>
  <c r="AY45" i="19"/>
  <c r="L46" i="18" s="1"/>
  <c r="BC45" i="19"/>
  <c r="BI45" i="19"/>
  <c r="BF45" i="19"/>
  <c r="Q46" i="18" s="1"/>
  <c r="AC46" i="19"/>
  <c r="AF46" i="19"/>
  <c r="AE46" i="19"/>
  <c r="X47" i="19"/>
  <c r="W48" i="19"/>
  <c r="P45" i="18"/>
  <c r="S45" i="18"/>
  <c r="J45" i="18"/>
  <c r="BL44" i="19"/>
  <c r="BM44" i="19" s="1"/>
  <c r="O45" i="18"/>
  <c r="AL46" i="19"/>
  <c r="AN46" i="19"/>
  <c r="Y47" i="19"/>
  <c r="AR46" i="19"/>
  <c r="AU46" i="19"/>
  <c r="AG46" i="19"/>
  <c r="AT46" i="19"/>
  <c r="AM46" i="19"/>
  <c r="AH46" i="19"/>
  <c r="AJ46" i="19"/>
  <c r="AA47" i="19"/>
  <c r="AS46" i="19"/>
  <c r="AI46" i="19"/>
  <c r="AQ46" i="19"/>
  <c r="Z47" i="19"/>
  <c r="AP46" i="19"/>
  <c r="AO46" i="19"/>
  <c r="AK46" i="19"/>
  <c r="AB47" i="19"/>
  <c r="U43" i="18" l="1"/>
  <c r="O46" i="18"/>
  <c r="AC47" i="19"/>
  <c r="AE47" i="19"/>
  <c r="AF47" i="19"/>
  <c r="BA46" i="19"/>
  <c r="N47" i="18" s="1"/>
  <c r="BF46" i="19"/>
  <c r="Q47" i="18" s="1"/>
  <c r="AZ46" i="19"/>
  <c r="M47" i="18" s="1"/>
  <c r="BC46" i="19"/>
  <c r="BJ46" i="19"/>
  <c r="BD46" i="19"/>
  <c r="BG46" i="19"/>
  <c r="R47" i="18" s="1"/>
  <c r="BB46" i="19"/>
  <c r="BK46" i="19"/>
  <c r="BI46" i="19"/>
  <c r="AW46" i="19"/>
  <c r="AX46" i="19"/>
  <c r="K47" i="18" s="1"/>
  <c r="BH46" i="19"/>
  <c r="BE46" i="19"/>
  <c r="AY46" i="19"/>
  <c r="L47" i="18" s="1"/>
  <c r="P46" i="18"/>
  <c r="S46" i="18"/>
  <c r="J46" i="18"/>
  <c r="BL45" i="19"/>
  <c r="BM45" i="19" s="1"/>
  <c r="W49" i="19"/>
  <c r="X48" i="19"/>
  <c r="T46" i="18"/>
  <c r="Y48" i="19"/>
  <c r="AA48" i="19"/>
  <c r="AT47" i="19"/>
  <c r="AI47" i="19"/>
  <c r="AG47" i="19"/>
  <c r="AS47" i="19"/>
  <c r="AN47" i="19"/>
  <c r="AH47" i="19"/>
  <c r="Z48" i="19"/>
  <c r="AP47" i="19"/>
  <c r="AM47" i="19"/>
  <c r="AJ47" i="19"/>
  <c r="AL47" i="19"/>
  <c r="AB48" i="19"/>
  <c r="AQ47" i="19"/>
  <c r="AU47" i="19"/>
  <c r="AK47" i="19"/>
  <c r="AR47" i="19"/>
  <c r="AO47" i="19"/>
  <c r="O47" i="18" l="1"/>
  <c r="S47" i="18"/>
  <c r="BG47" i="19"/>
  <c r="R48" i="18" s="1"/>
  <c r="BJ47" i="19"/>
  <c r="BI47" i="19"/>
  <c r="AZ47" i="19"/>
  <c r="M48" i="18" s="1"/>
  <c r="BB47" i="19"/>
  <c r="AX47" i="19"/>
  <c r="K48" i="18" s="1"/>
  <c r="BK47" i="19"/>
  <c r="BD47" i="19"/>
  <c r="BF47" i="19"/>
  <c r="Q48" i="18" s="1"/>
  <c r="AY47" i="19"/>
  <c r="L48" i="18" s="1"/>
  <c r="BC47" i="19"/>
  <c r="BE47" i="19"/>
  <c r="BH47" i="19"/>
  <c r="AW47" i="19"/>
  <c r="BA47" i="19"/>
  <c r="N48" i="18" s="1"/>
  <c r="AE48" i="19"/>
  <c r="AC48" i="19"/>
  <c r="AF48" i="19"/>
  <c r="T47" i="18"/>
  <c r="X49" i="19"/>
  <c r="W50" i="19"/>
  <c r="BL46" i="19"/>
  <c r="BM46" i="19" s="1"/>
  <c r="J47" i="18"/>
  <c r="P47" i="18"/>
  <c r="AJ48" i="19"/>
  <c r="Z49" i="19"/>
  <c r="AS48" i="19"/>
  <c r="AH48" i="19"/>
  <c r="AI48" i="19"/>
  <c r="AA49" i="19"/>
  <c r="AP48" i="19"/>
  <c r="AK48" i="19"/>
  <c r="AL48" i="19"/>
  <c r="AO48" i="19"/>
  <c r="AU48" i="19"/>
  <c r="AM48" i="19"/>
  <c r="AB49" i="19"/>
  <c r="AG48" i="19"/>
  <c r="Y49" i="19"/>
  <c r="AN48" i="19"/>
  <c r="AQ48" i="19"/>
  <c r="AT48" i="19"/>
  <c r="AR48" i="19"/>
  <c r="S48" i="18" l="1"/>
  <c r="O48" i="18"/>
  <c r="BE48" i="19"/>
  <c r="BJ48" i="19"/>
  <c r="BG48" i="19"/>
  <c r="R49" i="18" s="1"/>
  <c r="AZ48" i="19"/>
  <c r="M49" i="18" s="1"/>
  <c r="BK48" i="19"/>
  <c r="BH48" i="19"/>
  <c r="BA48" i="19"/>
  <c r="N49" i="18" s="1"/>
  <c r="AX48" i="19"/>
  <c r="K49" i="18" s="1"/>
  <c r="BI48" i="19"/>
  <c r="BF48" i="19"/>
  <c r="Q49" i="18" s="1"/>
  <c r="BD48" i="19"/>
  <c r="BC48" i="19"/>
  <c r="AY48" i="19"/>
  <c r="L49" i="18" s="1"/>
  <c r="BB48" i="19"/>
  <c r="AW48" i="19"/>
  <c r="AE49" i="19"/>
  <c r="AC49" i="19"/>
  <c r="AF49" i="19"/>
  <c r="P48" i="18"/>
  <c r="W51" i="19"/>
  <c r="X50" i="19"/>
  <c r="J48" i="18"/>
  <c r="BL47" i="19"/>
  <c r="BM47" i="19" s="1"/>
  <c r="T48" i="18"/>
  <c r="AJ49" i="19"/>
  <c r="AK49" i="19"/>
  <c r="AU49" i="19"/>
  <c r="AL49" i="19"/>
  <c r="AB50" i="19"/>
  <c r="AA50" i="19"/>
  <c r="AR49" i="19"/>
  <c r="AM49" i="19"/>
  <c r="AQ49" i="19"/>
  <c r="AT49" i="19"/>
  <c r="Y50" i="19"/>
  <c r="AN49" i="19"/>
  <c r="AP49" i="19"/>
  <c r="AG49" i="19"/>
  <c r="AI49" i="19"/>
  <c r="Z50" i="19"/>
  <c r="AO49" i="19"/>
  <c r="AS49" i="19"/>
  <c r="AH49" i="19"/>
  <c r="U46" i="18" l="1"/>
  <c r="P49" i="18"/>
  <c r="AE50" i="19"/>
  <c r="AC50" i="19"/>
  <c r="AF50" i="19"/>
  <c r="AX49" i="19"/>
  <c r="K50" i="18" s="1"/>
  <c r="AY49" i="19"/>
  <c r="L50" i="18" s="1"/>
  <c r="AZ49" i="19"/>
  <c r="M50" i="18" s="1"/>
  <c r="BI49" i="19"/>
  <c r="BH49" i="19"/>
  <c r="BE49" i="19"/>
  <c r="BF49" i="19"/>
  <c r="Q50" i="18" s="1"/>
  <c r="BG49" i="19"/>
  <c r="R50" i="18" s="1"/>
  <c r="AW49" i="19"/>
  <c r="BD49" i="19"/>
  <c r="BB49" i="19"/>
  <c r="BJ49" i="19"/>
  <c r="BA49" i="19"/>
  <c r="N50" i="18" s="1"/>
  <c r="BK49" i="19"/>
  <c r="BC49" i="19"/>
  <c r="J49" i="18"/>
  <c r="BL48" i="19"/>
  <c r="BM48" i="19" s="1"/>
  <c r="O49" i="18"/>
  <c r="S49" i="18"/>
  <c r="T49" i="18"/>
  <c r="X51" i="19"/>
  <c r="W52" i="19"/>
  <c r="AU50" i="19"/>
  <c r="AN50" i="19"/>
  <c r="AP50" i="19"/>
  <c r="AO50" i="19"/>
  <c r="AR50" i="19"/>
  <c r="AB51" i="19"/>
  <c r="AG50" i="19"/>
  <c r="AI50" i="19"/>
  <c r="AJ50" i="19"/>
  <c r="Y51" i="19"/>
  <c r="Z51" i="19"/>
  <c r="AM50" i="19"/>
  <c r="AK50" i="19"/>
  <c r="AT50" i="19"/>
  <c r="AS50" i="19"/>
  <c r="AH50" i="19"/>
  <c r="AA51" i="19"/>
  <c r="AQ50" i="19"/>
  <c r="AL50" i="19"/>
  <c r="P50" i="18" l="1"/>
  <c r="S50" i="18"/>
  <c r="BD50" i="19"/>
  <c r="AW50" i="19"/>
  <c r="BA50" i="19"/>
  <c r="N51" i="18" s="1"/>
  <c r="BF50" i="19"/>
  <c r="Q51" i="18" s="1"/>
  <c r="BJ50" i="19"/>
  <c r="AY50" i="19"/>
  <c r="L51" i="18" s="1"/>
  <c r="BC50" i="19"/>
  <c r="BE50" i="19"/>
  <c r="BH50" i="19"/>
  <c r="AX50" i="19"/>
  <c r="K51" i="18" s="1"/>
  <c r="AZ50" i="19"/>
  <c r="M51" i="18" s="1"/>
  <c r="BB50" i="19"/>
  <c r="BG50" i="19"/>
  <c r="R51" i="18" s="1"/>
  <c r="BK50" i="19"/>
  <c r="BI50" i="19"/>
  <c r="AF51" i="19"/>
  <c r="AE51" i="19"/>
  <c r="AC51" i="19"/>
  <c r="J50" i="18"/>
  <c r="BL49" i="19"/>
  <c r="BM49" i="19" s="1"/>
  <c r="T50" i="18"/>
  <c r="W53" i="19"/>
  <c r="X52" i="19"/>
  <c r="O50" i="18"/>
  <c r="AO51" i="19"/>
  <c r="AG51" i="19"/>
  <c r="AB52" i="19"/>
  <c r="Z52" i="19"/>
  <c r="AK51" i="19"/>
  <c r="AL51" i="19"/>
  <c r="AT51" i="19"/>
  <c r="AR51" i="19"/>
  <c r="AU51" i="19"/>
  <c r="AM51" i="19"/>
  <c r="AN51" i="19"/>
  <c r="AQ51" i="19"/>
  <c r="AA52" i="19"/>
  <c r="AI51" i="19"/>
  <c r="AJ51" i="19"/>
  <c r="AS51" i="19"/>
  <c r="AP51" i="19"/>
  <c r="Y52" i="19"/>
  <c r="AH51" i="19"/>
  <c r="O51" i="18" l="1"/>
  <c r="AW51" i="19"/>
  <c r="BB51" i="19"/>
  <c r="BF51" i="19"/>
  <c r="Q52" i="18" s="1"/>
  <c r="BE51" i="19"/>
  <c r="BK51" i="19"/>
  <c r="AY51" i="19"/>
  <c r="L52" i="18" s="1"/>
  <c r="BC51" i="19"/>
  <c r="BI51" i="19"/>
  <c r="AX51" i="19"/>
  <c r="K52" i="18" s="1"/>
  <c r="BG51" i="19"/>
  <c r="R52" i="18" s="1"/>
  <c r="BJ51" i="19"/>
  <c r="BH51" i="19"/>
  <c r="BD51" i="19"/>
  <c r="AZ51" i="19"/>
  <c r="M52" i="18" s="1"/>
  <c r="BA51" i="19"/>
  <c r="N52" i="18" s="1"/>
  <c r="AE52" i="19"/>
  <c r="AF52" i="19"/>
  <c r="AC52" i="19"/>
  <c r="W54" i="19"/>
  <c r="X53" i="19"/>
  <c r="J51" i="18"/>
  <c r="BL50" i="19"/>
  <c r="BM50" i="19" s="1"/>
  <c r="S51" i="18"/>
  <c r="T51" i="18"/>
  <c r="P51" i="18"/>
  <c r="AI52" i="19"/>
  <c r="AG52" i="19"/>
  <c r="Y53" i="19"/>
  <c r="Z53" i="19"/>
  <c r="AR52" i="19"/>
  <c r="AJ52" i="19"/>
  <c r="AQ52" i="19"/>
  <c r="AO52" i="19"/>
  <c r="AU52" i="19"/>
  <c r="AM52" i="19"/>
  <c r="AB53" i="19"/>
  <c r="AN52" i="19"/>
  <c r="AS52" i="19"/>
  <c r="AH52" i="19"/>
  <c r="AP52" i="19"/>
  <c r="AT52" i="19"/>
  <c r="AA53" i="19"/>
  <c r="AK52" i="19"/>
  <c r="AL52" i="19"/>
  <c r="S52" i="18" l="1"/>
  <c r="U49" i="18"/>
  <c r="T52" i="18"/>
  <c r="AC53" i="19"/>
  <c r="AF53" i="19"/>
  <c r="AE53" i="19"/>
  <c r="BE52" i="19"/>
  <c r="BJ52" i="19"/>
  <c r="BB52" i="19"/>
  <c r="BH52" i="19"/>
  <c r="AY52" i="19"/>
  <c r="L53" i="18" s="1"/>
  <c r="BK52" i="19"/>
  <c r="AX52" i="19"/>
  <c r="K53" i="18" s="1"/>
  <c r="BD52" i="19"/>
  <c r="BA52" i="19"/>
  <c r="N53" i="18" s="1"/>
  <c r="BG52" i="19"/>
  <c r="R53" i="18" s="1"/>
  <c r="AZ52" i="19"/>
  <c r="M53" i="18" s="1"/>
  <c r="BF52" i="19"/>
  <c r="Q53" i="18" s="1"/>
  <c r="BC52" i="19"/>
  <c r="BI52" i="19"/>
  <c r="AW52" i="19"/>
  <c r="X54" i="19"/>
  <c r="W55" i="19"/>
  <c r="O52" i="18"/>
  <c r="P52" i="18"/>
  <c r="BL51" i="19"/>
  <c r="BM51" i="19" s="1"/>
  <c r="J52" i="18"/>
  <c r="AT53" i="19"/>
  <c r="AP53" i="19"/>
  <c r="AJ53" i="19"/>
  <c r="AR53" i="19"/>
  <c r="AM53" i="19"/>
  <c r="Y54" i="19"/>
  <c r="AI53" i="19"/>
  <c r="AO53" i="19"/>
  <c r="AS53" i="19"/>
  <c r="AA54" i="19"/>
  <c r="AQ53" i="19"/>
  <c r="AG53" i="19"/>
  <c r="AL53" i="19"/>
  <c r="AU53" i="19"/>
  <c r="AN53" i="19"/>
  <c r="AH53" i="19"/>
  <c r="AB54" i="19"/>
  <c r="Z54" i="19"/>
  <c r="AK53" i="19"/>
  <c r="AC54" i="19" l="1"/>
  <c r="AE54" i="19"/>
  <c r="AF54" i="19"/>
  <c r="BG53" i="19"/>
  <c r="R54" i="18" s="1"/>
  <c r="BA53" i="19"/>
  <c r="N54" i="18" s="1"/>
  <c r="AW53" i="19"/>
  <c r="AZ53" i="19"/>
  <c r="M54" i="18" s="1"/>
  <c r="BI53" i="19"/>
  <c r="BF53" i="19"/>
  <c r="Q54" i="18" s="1"/>
  <c r="BC53" i="19"/>
  <c r="BD53" i="19"/>
  <c r="AY53" i="19"/>
  <c r="L54" i="18" s="1"/>
  <c r="AX53" i="19"/>
  <c r="K54" i="18" s="1"/>
  <c r="BJ53" i="19"/>
  <c r="BE53" i="19"/>
  <c r="BB53" i="19"/>
  <c r="BK53" i="19"/>
  <c r="BH53" i="19"/>
  <c r="P53" i="18"/>
  <c r="S53" i="18"/>
  <c r="BL52" i="19"/>
  <c r="BM52" i="19" s="1"/>
  <c r="J53" i="18"/>
  <c r="O53" i="18"/>
  <c r="X55" i="19"/>
  <c r="W56" i="19"/>
  <c r="T53" i="18"/>
  <c r="AB55" i="19"/>
  <c r="AI54" i="19"/>
  <c r="AO54" i="19"/>
  <c r="AQ54" i="19"/>
  <c r="AR54" i="19"/>
  <c r="Y55" i="19"/>
  <c r="AN54" i="19"/>
  <c r="AK54" i="19"/>
  <c r="AA55" i="19"/>
  <c r="AS54" i="19"/>
  <c r="AU54" i="19"/>
  <c r="Z55" i="19"/>
  <c r="AG54" i="19"/>
  <c r="AL54" i="19"/>
  <c r="AH54" i="19"/>
  <c r="AM54" i="19"/>
  <c r="AT54" i="19"/>
  <c r="AJ54" i="19"/>
  <c r="AP54" i="19"/>
  <c r="O54" i="18" l="1"/>
  <c r="BI54" i="19"/>
  <c r="AY54" i="19"/>
  <c r="L55" i="18" s="1"/>
  <c r="BF54" i="19"/>
  <c r="Q55" i="18" s="1"/>
  <c r="BK54" i="19"/>
  <c r="BG54" i="19"/>
  <c r="R55" i="18" s="1"/>
  <c r="BE54" i="19"/>
  <c r="BB54" i="19"/>
  <c r="BC54" i="19"/>
  <c r="AZ54" i="19"/>
  <c r="M55" i="18" s="1"/>
  <c r="BH54" i="19"/>
  <c r="BA54" i="19"/>
  <c r="N55" i="18" s="1"/>
  <c r="AW54" i="19"/>
  <c r="BJ54" i="19"/>
  <c r="AX54" i="19"/>
  <c r="K55" i="18" s="1"/>
  <c r="BD54" i="19"/>
  <c r="AF55" i="19"/>
  <c r="AC55" i="19"/>
  <c r="AE55" i="19"/>
  <c r="P54" i="18"/>
  <c r="X56" i="19"/>
  <c r="W57" i="19"/>
  <c r="S54" i="18"/>
  <c r="T54" i="18"/>
  <c r="BL53" i="19"/>
  <c r="BM53" i="19" s="1"/>
  <c r="J54" i="18"/>
  <c r="Y56" i="19"/>
  <c r="AI55" i="19"/>
  <c r="AT55" i="19"/>
  <c r="AK55" i="19"/>
  <c r="AS55" i="19"/>
  <c r="AG55" i="19"/>
  <c r="AB56" i="19"/>
  <c r="AQ55" i="19"/>
  <c r="AJ55" i="19"/>
  <c r="AH55" i="19"/>
  <c r="AL55" i="19"/>
  <c r="AN55" i="19"/>
  <c r="AO55" i="19"/>
  <c r="AR55" i="19"/>
  <c r="Z56" i="19"/>
  <c r="AA56" i="19"/>
  <c r="AM55" i="19"/>
  <c r="AP55" i="19"/>
  <c r="AU55" i="19"/>
  <c r="S55" i="18" l="1"/>
  <c r="U52" i="18"/>
  <c r="P55" i="18"/>
  <c r="BJ55" i="19"/>
  <c r="AX55" i="19"/>
  <c r="K56" i="18" s="1"/>
  <c r="BD55" i="19"/>
  <c r="AW55" i="19"/>
  <c r="BE55" i="19"/>
  <c r="BH55" i="19"/>
  <c r="AY55" i="19"/>
  <c r="L56" i="18" s="1"/>
  <c r="BI55" i="19"/>
  <c r="BF55" i="19"/>
  <c r="Q56" i="18" s="1"/>
  <c r="BC55" i="19"/>
  <c r="BK55" i="19"/>
  <c r="BA55" i="19"/>
  <c r="N56" i="18" s="1"/>
  <c r="BB55" i="19"/>
  <c r="AZ55" i="19"/>
  <c r="M56" i="18" s="1"/>
  <c r="BG55" i="19"/>
  <c r="R56" i="18" s="1"/>
  <c r="AF56" i="19"/>
  <c r="AE56" i="19"/>
  <c r="AC56" i="19"/>
  <c r="J55" i="18"/>
  <c r="BL54" i="19"/>
  <c r="BM54" i="19" s="1"/>
  <c r="O55" i="18"/>
  <c r="X57" i="19"/>
  <c r="W58" i="19"/>
  <c r="T55" i="18"/>
  <c r="AN56" i="19"/>
  <c r="AQ56" i="19"/>
  <c r="AR56" i="19"/>
  <c r="AG56" i="19"/>
  <c r="AT56" i="19"/>
  <c r="AB57" i="19"/>
  <c r="AL56" i="19"/>
  <c r="AA57" i="19"/>
  <c r="AP56" i="19"/>
  <c r="Y57" i="19"/>
  <c r="AH56" i="19"/>
  <c r="Z57" i="19"/>
  <c r="AU56" i="19"/>
  <c r="AI56" i="19"/>
  <c r="AM56" i="19"/>
  <c r="AO56" i="19"/>
  <c r="AS56" i="19"/>
  <c r="AJ56" i="19"/>
  <c r="AK56" i="19"/>
  <c r="O56" i="18" l="1"/>
  <c r="BE56" i="19"/>
  <c r="BD56" i="19"/>
  <c r="AZ56" i="19"/>
  <c r="M57" i="18" s="1"/>
  <c r="BF56" i="19"/>
  <c r="Q57" i="18" s="1"/>
  <c r="BA56" i="19"/>
  <c r="N57" i="18" s="1"/>
  <c r="AX56" i="19"/>
  <c r="K57" i="18" s="1"/>
  <c r="BC56" i="19"/>
  <c r="BJ56" i="19"/>
  <c r="AW56" i="19"/>
  <c r="AY56" i="19"/>
  <c r="L57" i="18" s="1"/>
  <c r="BI56" i="19"/>
  <c r="BK56" i="19"/>
  <c r="BH56" i="19"/>
  <c r="BB56" i="19"/>
  <c r="BG56" i="19"/>
  <c r="R57" i="18" s="1"/>
  <c r="AE57" i="19"/>
  <c r="AC57" i="19"/>
  <c r="AF57" i="19"/>
  <c r="W59" i="19"/>
  <c r="X58" i="19"/>
  <c r="BL55" i="19"/>
  <c r="BM55" i="19" s="1"/>
  <c r="J56" i="18"/>
  <c r="P56" i="18"/>
  <c r="S56" i="18"/>
  <c r="T56" i="18"/>
  <c r="AO57" i="19"/>
  <c r="AL57" i="19"/>
  <c r="AS57" i="19"/>
  <c r="AU57" i="19"/>
  <c r="AI57" i="19"/>
  <c r="AJ57" i="19"/>
  <c r="AK57" i="19"/>
  <c r="AN57" i="19"/>
  <c r="AG57" i="19"/>
  <c r="AP57" i="19"/>
  <c r="AM57" i="19"/>
  <c r="AH57" i="19"/>
  <c r="AR57" i="19"/>
  <c r="AA58" i="19"/>
  <c r="AT57" i="19"/>
  <c r="AQ57" i="19"/>
  <c r="Z58" i="19"/>
  <c r="Y58" i="19"/>
  <c r="AB58" i="19"/>
  <c r="P57" i="18" l="1"/>
  <c r="O57" i="18"/>
  <c r="S57" i="18"/>
  <c r="BC57" i="19"/>
  <c r="BG57" i="19"/>
  <c r="R58" i="18" s="1"/>
  <c r="BD57" i="19"/>
  <c r="AW57" i="19"/>
  <c r="BK57" i="19"/>
  <c r="BA57" i="19"/>
  <c r="N58" i="18" s="1"/>
  <c r="AZ57" i="19"/>
  <c r="M58" i="18" s="1"/>
  <c r="BB57" i="19"/>
  <c r="BI57" i="19"/>
  <c r="BJ57" i="19"/>
  <c r="BE57" i="19"/>
  <c r="AY57" i="19"/>
  <c r="L58" i="18" s="1"/>
  <c r="AX57" i="19"/>
  <c r="K58" i="18" s="1"/>
  <c r="BF57" i="19"/>
  <c r="Q58" i="18" s="1"/>
  <c r="BH57" i="19"/>
  <c r="AF58" i="19"/>
  <c r="AE58" i="19"/>
  <c r="AC58" i="19"/>
  <c r="X59" i="19"/>
  <c r="W60" i="19"/>
  <c r="T57" i="18"/>
  <c r="BL56" i="19"/>
  <c r="BM56" i="19" s="1"/>
  <c r="J57" i="18"/>
  <c r="AM58" i="19"/>
  <c r="Z59" i="19"/>
  <c r="AG58" i="19"/>
  <c r="AQ58" i="19"/>
  <c r="AA59" i="19"/>
  <c r="AS58" i="19"/>
  <c r="AP58" i="19"/>
  <c r="AI58" i="19"/>
  <c r="AT58" i="19"/>
  <c r="AB59" i="19"/>
  <c r="AR58" i="19"/>
  <c r="AK58" i="19"/>
  <c r="AJ58" i="19"/>
  <c r="AL58" i="19"/>
  <c r="AH58" i="19"/>
  <c r="Y59" i="19"/>
  <c r="AO58" i="19"/>
  <c r="AN58" i="19"/>
  <c r="AU58" i="19"/>
  <c r="U55" i="18" l="1"/>
  <c r="T58" i="18"/>
  <c r="O58" i="18"/>
  <c r="S58" i="18"/>
  <c r="AC59" i="19"/>
  <c r="AE59" i="19"/>
  <c r="AF59" i="19"/>
  <c r="BD58" i="19"/>
  <c r="BB58" i="19"/>
  <c r="BF58" i="19"/>
  <c r="Q59" i="18" s="1"/>
  <c r="AZ58" i="19"/>
  <c r="M59" i="18" s="1"/>
  <c r="BH58" i="19"/>
  <c r="AY58" i="19"/>
  <c r="L59" i="18" s="1"/>
  <c r="BE58" i="19"/>
  <c r="BK58" i="19"/>
  <c r="BJ58" i="19"/>
  <c r="BA58" i="19"/>
  <c r="N59" i="18" s="1"/>
  <c r="AX58" i="19"/>
  <c r="K59" i="18" s="1"/>
  <c r="AW58" i="19"/>
  <c r="BC58" i="19"/>
  <c r="BI58" i="19"/>
  <c r="BG58" i="19"/>
  <c r="R59" i="18" s="1"/>
  <c r="J58" i="18"/>
  <c r="BL57" i="19"/>
  <c r="BM57" i="19" s="1"/>
  <c r="P58" i="18"/>
  <c r="X60" i="19"/>
  <c r="W61" i="19"/>
  <c r="AU59" i="19"/>
  <c r="AT59" i="19"/>
  <c r="AS59" i="19"/>
  <c r="AG59" i="19"/>
  <c r="AK59" i="19"/>
  <c r="AH59" i="19"/>
  <c r="AJ59" i="19"/>
  <c r="AR59" i="19"/>
  <c r="Y60" i="19"/>
  <c r="AI59" i="19"/>
  <c r="AM59" i="19"/>
  <c r="AP59" i="19"/>
  <c r="AA60" i="19"/>
  <c r="Z60" i="19"/>
  <c r="AN59" i="19"/>
  <c r="AQ59" i="19"/>
  <c r="AO59" i="19"/>
  <c r="AB60" i="19"/>
  <c r="AL59" i="19"/>
  <c r="T59" i="18" l="1"/>
  <c r="S59" i="18"/>
  <c r="P59" i="18"/>
  <c r="AC60" i="19"/>
  <c r="AE60" i="19"/>
  <c r="AF60" i="19"/>
  <c r="BK59" i="19"/>
  <c r="BD59" i="19"/>
  <c r="AZ59" i="19"/>
  <c r="M60" i="18" s="1"/>
  <c r="AW59" i="19"/>
  <c r="BJ59" i="19"/>
  <c r="T60" i="18" s="1"/>
  <c r="BA59" i="19"/>
  <c r="N60" i="18" s="1"/>
  <c r="BG59" i="19"/>
  <c r="R60" i="18" s="1"/>
  <c r="AX59" i="19"/>
  <c r="K60" i="18" s="1"/>
  <c r="BI59" i="19"/>
  <c r="BH59" i="19"/>
  <c r="BC59" i="19"/>
  <c r="BB59" i="19"/>
  <c r="BF59" i="19"/>
  <c r="Q60" i="18" s="1"/>
  <c r="BE59" i="19"/>
  <c r="AY59" i="19"/>
  <c r="L60" i="18" s="1"/>
  <c r="BL58" i="19"/>
  <c r="BM58" i="19" s="1"/>
  <c r="J59" i="18"/>
  <c r="X61" i="19"/>
  <c r="W62" i="19"/>
  <c r="O59" i="18"/>
  <c r="AT60" i="19"/>
  <c r="AI60" i="19"/>
  <c r="AH60" i="19"/>
  <c r="Z61" i="19"/>
  <c r="AN60" i="19"/>
  <c r="AK60" i="19"/>
  <c r="AQ60" i="19"/>
  <c r="AB61" i="19"/>
  <c r="AO60" i="19"/>
  <c r="AS60" i="19"/>
  <c r="AA61" i="19"/>
  <c r="AL60" i="19"/>
  <c r="AJ60" i="19"/>
  <c r="AM60" i="19"/>
  <c r="AG60" i="19"/>
  <c r="AU60" i="19"/>
  <c r="AR60" i="19"/>
  <c r="Y61" i="19"/>
  <c r="AP60" i="19"/>
  <c r="BK60" i="19" l="1"/>
  <c r="BF60" i="19"/>
  <c r="Q61" i="18" s="1"/>
  <c r="BH60" i="19"/>
  <c r="BG60" i="19"/>
  <c r="R61" i="18" s="1"/>
  <c r="AX60" i="19"/>
  <c r="K61" i="18" s="1"/>
  <c r="BC60" i="19"/>
  <c r="AY60" i="19"/>
  <c r="L61" i="18" s="1"/>
  <c r="AW60" i="19"/>
  <c r="BE60" i="19"/>
  <c r="BB60" i="19"/>
  <c r="O61" i="18" s="1"/>
  <c r="BA60" i="19"/>
  <c r="N61" i="18" s="1"/>
  <c r="BJ60" i="19"/>
  <c r="BI60" i="19"/>
  <c r="AZ60" i="19"/>
  <c r="M61" i="18" s="1"/>
  <c r="BD60" i="19"/>
  <c r="AC61" i="19"/>
  <c r="AE61" i="19"/>
  <c r="AF61" i="19"/>
  <c r="X62" i="19"/>
  <c r="W63" i="19"/>
  <c r="O60" i="18"/>
  <c r="J60" i="18"/>
  <c r="BL59" i="19"/>
  <c r="BM59" i="19" s="1"/>
  <c r="S60" i="18"/>
  <c r="P60" i="18"/>
  <c r="AN61" i="19"/>
  <c r="AP61" i="19"/>
  <c r="AT61" i="19"/>
  <c r="AJ61" i="19"/>
  <c r="AQ61" i="19"/>
  <c r="Z62" i="19"/>
  <c r="AH61" i="19"/>
  <c r="AO61" i="19"/>
  <c r="AL61" i="19"/>
  <c r="AU61" i="19"/>
  <c r="AR61" i="19"/>
  <c r="AI61" i="19"/>
  <c r="AK61" i="19"/>
  <c r="AS61" i="19"/>
  <c r="AM61" i="19"/>
  <c r="AB62" i="19"/>
  <c r="AA62" i="19"/>
  <c r="Y62" i="19"/>
  <c r="AG61" i="19"/>
  <c r="T61" i="18" l="1"/>
  <c r="P61" i="18"/>
  <c r="U58" i="18"/>
  <c r="AF62" i="19"/>
  <c r="AE62" i="19"/>
  <c r="AC62" i="19"/>
  <c r="BB61" i="19"/>
  <c r="BC61" i="19"/>
  <c r="BH61" i="19"/>
  <c r="BE61" i="19"/>
  <c r="BF61" i="19"/>
  <c r="Q62" i="18" s="1"/>
  <c r="BD61" i="19"/>
  <c r="BG61" i="19"/>
  <c r="R62" i="18" s="1"/>
  <c r="BA61" i="19"/>
  <c r="N62" i="18" s="1"/>
  <c r="BI61" i="19"/>
  <c r="BK61" i="19"/>
  <c r="AX61" i="19"/>
  <c r="K62" i="18" s="1"/>
  <c r="AW61" i="19"/>
  <c r="BJ61" i="19"/>
  <c r="T62" i="18" s="1"/>
  <c r="AY61" i="19"/>
  <c r="L62" i="18" s="1"/>
  <c r="AZ61" i="19"/>
  <c r="M62" i="18" s="1"/>
  <c r="BL60" i="19"/>
  <c r="BM60" i="19" s="1"/>
  <c r="J61" i="18"/>
  <c r="S61" i="18"/>
  <c r="W64" i="19"/>
  <c r="X63" i="19"/>
  <c r="AO62" i="19"/>
  <c r="AS62" i="19"/>
  <c r="AR62" i="19"/>
  <c r="AQ62" i="19"/>
  <c r="AB63" i="19"/>
  <c r="AJ62" i="19"/>
  <c r="AG62" i="19"/>
  <c r="Y63" i="19"/>
  <c r="AH62" i="19"/>
  <c r="AU62" i="19"/>
  <c r="AI62" i="19"/>
  <c r="AT62" i="19"/>
  <c r="Z63" i="19"/>
  <c r="AP62" i="19"/>
  <c r="AM62" i="19"/>
  <c r="AL62" i="19"/>
  <c r="AK62" i="19"/>
  <c r="AA63" i="19"/>
  <c r="AN62" i="19"/>
  <c r="O62" i="18" l="1"/>
  <c r="P62" i="18"/>
  <c r="AE63" i="19"/>
  <c r="AF63" i="19"/>
  <c r="AC63" i="19"/>
  <c r="BI62" i="19"/>
  <c r="BB62" i="19"/>
  <c r="AW62" i="19"/>
  <c r="BD62" i="19"/>
  <c r="BK62" i="19"/>
  <c r="AY62" i="19"/>
  <c r="L63" i="18" s="1"/>
  <c r="BG62" i="19"/>
  <c r="R63" i="18" s="1"/>
  <c r="AX62" i="19"/>
  <c r="K63" i="18" s="1"/>
  <c r="BC62" i="19"/>
  <c r="BE62" i="19"/>
  <c r="BJ62" i="19"/>
  <c r="AZ62" i="19"/>
  <c r="M63" i="18" s="1"/>
  <c r="BF62" i="19"/>
  <c r="Q63" i="18" s="1"/>
  <c r="BH62" i="19"/>
  <c r="S63" i="18" s="1"/>
  <c r="BA62" i="19"/>
  <c r="N63" i="18" s="1"/>
  <c r="BL61" i="19"/>
  <c r="BM61" i="19" s="1"/>
  <c r="J62" i="18"/>
  <c r="X64" i="19"/>
  <c r="W65" i="19"/>
  <c r="S62" i="18"/>
  <c r="AJ63" i="19"/>
  <c r="AB64" i="19"/>
  <c r="AK63" i="19"/>
  <c r="AN63" i="19"/>
  <c r="AS63" i="19"/>
  <c r="AO63" i="19"/>
  <c r="AT63" i="19"/>
  <c r="AH63" i="19"/>
  <c r="AM63" i="19"/>
  <c r="AP63" i="19"/>
  <c r="AI63" i="19"/>
  <c r="AQ63" i="19"/>
  <c r="Y64" i="19"/>
  <c r="AL63" i="19"/>
  <c r="Z64" i="19"/>
  <c r="AR63" i="19"/>
  <c r="AA64" i="19"/>
  <c r="AG63" i="19"/>
  <c r="AU63" i="19"/>
  <c r="BC63" i="19" l="1"/>
  <c r="BI63" i="19"/>
  <c r="BE63" i="19"/>
  <c r="BA63" i="19"/>
  <c r="N64" i="18" s="1"/>
  <c r="AW63" i="19"/>
  <c r="BD63" i="19"/>
  <c r="BG63" i="19"/>
  <c r="R64" i="18" s="1"/>
  <c r="BF63" i="19"/>
  <c r="Q64" i="18" s="1"/>
  <c r="BJ63" i="19"/>
  <c r="AY63" i="19"/>
  <c r="L64" i="18" s="1"/>
  <c r="BB63" i="19"/>
  <c r="O64" i="18" s="1"/>
  <c r="BH63" i="19"/>
  <c r="S64" i="18" s="1"/>
  <c r="AZ63" i="19"/>
  <c r="M64" i="18" s="1"/>
  <c r="BK63" i="19"/>
  <c r="AX63" i="19"/>
  <c r="K64" i="18" s="1"/>
  <c r="AE64" i="19"/>
  <c r="AF64" i="19"/>
  <c r="AC64" i="19"/>
  <c r="P63" i="18"/>
  <c r="X65" i="19"/>
  <c r="W66" i="19"/>
  <c r="T63" i="18"/>
  <c r="J63" i="18"/>
  <c r="BL62" i="19"/>
  <c r="BM62" i="19" s="1"/>
  <c r="O63" i="18"/>
  <c r="AH64" i="19"/>
  <c r="AJ64" i="19"/>
  <c r="AP64" i="19"/>
  <c r="AL64" i="19"/>
  <c r="AT64" i="19"/>
  <c r="AN64" i="19"/>
  <c r="Z65" i="19"/>
  <c r="AU64" i="19"/>
  <c r="AB65" i="19"/>
  <c r="AA65" i="19"/>
  <c r="AG64" i="19"/>
  <c r="AR64" i="19"/>
  <c r="Y65" i="19"/>
  <c r="AS64" i="19"/>
  <c r="AK64" i="19"/>
  <c r="AM64" i="19"/>
  <c r="AO64" i="19"/>
  <c r="AQ64" i="19"/>
  <c r="AI64" i="19"/>
  <c r="P64" i="18" l="1"/>
  <c r="AF65" i="19"/>
  <c r="AC65" i="19"/>
  <c r="AE65" i="19"/>
  <c r="BI64" i="19"/>
  <c r="BH64" i="19"/>
  <c r="AZ64" i="19"/>
  <c r="M65" i="18" s="1"/>
  <c r="BE64" i="19"/>
  <c r="BF64" i="19"/>
  <c r="Q65" i="18" s="1"/>
  <c r="AY64" i="19"/>
  <c r="L65" i="18" s="1"/>
  <c r="BC64" i="19"/>
  <c r="BD64" i="19"/>
  <c r="BA64" i="19"/>
  <c r="N65" i="18" s="1"/>
  <c r="BG64" i="19"/>
  <c r="R65" i="18" s="1"/>
  <c r="BJ64" i="19"/>
  <c r="AW64" i="19"/>
  <c r="AX64" i="19"/>
  <c r="K65" i="18" s="1"/>
  <c r="BK64" i="19"/>
  <c r="BB64" i="19"/>
  <c r="U61" i="18"/>
  <c r="W67" i="19"/>
  <c r="X66" i="19"/>
  <c r="T64" i="18"/>
  <c r="J64" i="18"/>
  <c r="BL63" i="19"/>
  <c r="BM63" i="19" s="1"/>
  <c r="AU65" i="19"/>
  <c r="AH65" i="19"/>
  <c r="AK65" i="19"/>
  <c r="AT65" i="19"/>
  <c r="AR65" i="19"/>
  <c r="AA66" i="19"/>
  <c r="AM65" i="19"/>
  <c r="AL65" i="19"/>
  <c r="Y66" i="19"/>
  <c r="AI65" i="19"/>
  <c r="AP65" i="19"/>
  <c r="AJ65" i="19"/>
  <c r="AB66" i="19"/>
  <c r="AQ65" i="19"/>
  <c r="AN65" i="19"/>
  <c r="AG65" i="19"/>
  <c r="AO65" i="19"/>
  <c r="AS65" i="19"/>
  <c r="Z66" i="19"/>
  <c r="O65" i="18" l="1"/>
  <c r="P65" i="18"/>
  <c r="T65" i="18"/>
  <c r="AC66" i="19"/>
  <c r="AF66" i="19"/>
  <c r="AE66" i="19"/>
  <c r="AX65" i="19"/>
  <c r="K66" i="18" s="1"/>
  <c r="AW65" i="19"/>
  <c r="BC65" i="19"/>
  <c r="BG65" i="19"/>
  <c r="R66" i="18" s="1"/>
  <c r="BK65" i="19"/>
  <c r="BE65" i="19"/>
  <c r="BD65" i="19"/>
  <c r="BF65" i="19"/>
  <c r="Q66" i="18" s="1"/>
  <c r="BI65" i="19"/>
  <c r="BH65" i="19"/>
  <c r="BA65" i="19"/>
  <c r="N66" i="18" s="1"/>
  <c r="AY65" i="19"/>
  <c r="L66" i="18" s="1"/>
  <c r="BB65" i="19"/>
  <c r="AZ65" i="19"/>
  <c r="M66" i="18" s="1"/>
  <c r="BJ65" i="19"/>
  <c r="W68" i="19"/>
  <c r="X67" i="19"/>
  <c r="J65" i="18"/>
  <c r="BL64" i="19"/>
  <c r="BM64" i="19" s="1"/>
  <c r="S65" i="18"/>
  <c r="AB67" i="19"/>
  <c r="AS66" i="19"/>
  <c r="AO66" i="19"/>
  <c r="AR66" i="19"/>
  <c r="AU66" i="19"/>
  <c r="AG66" i="19"/>
  <c r="AQ66" i="19"/>
  <c r="AH66" i="19"/>
  <c r="AK66" i="19"/>
  <c r="AP66" i="19"/>
  <c r="AT66" i="19"/>
  <c r="Y67" i="19"/>
  <c r="AN66" i="19"/>
  <c r="AJ66" i="19"/>
  <c r="AL66" i="19"/>
  <c r="Z67" i="19"/>
  <c r="AA67" i="19"/>
  <c r="AI66" i="19"/>
  <c r="AM66" i="19"/>
  <c r="O66" i="18" l="1"/>
  <c r="P66" i="18"/>
  <c r="AC67" i="19"/>
  <c r="AF67" i="19"/>
  <c r="AE67" i="19"/>
  <c r="BB66" i="19"/>
  <c r="AX66" i="19"/>
  <c r="K67" i="18" s="1"/>
  <c r="BC66" i="19"/>
  <c r="BK66" i="19"/>
  <c r="BA66" i="19"/>
  <c r="N67" i="18" s="1"/>
  <c r="BJ66" i="19"/>
  <c r="BG66" i="19"/>
  <c r="R67" i="18" s="1"/>
  <c r="BD66" i="19"/>
  <c r="BE66" i="19"/>
  <c r="AY66" i="19"/>
  <c r="L67" i="18" s="1"/>
  <c r="BH66" i="19"/>
  <c r="BI66" i="19"/>
  <c r="AZ66" i="19"/>
  <c r="M67" i="18" s="1"/>
  <c r="BF66" i="19"/>
  <c r="Q67" i="18" s="1"/>
  <c r="AW66" i="19"/>
  <c r="X68" i="19"/>
  <c r="W69" i="19"/>
  <c r="T66" i="18"/>
  <c r="S66" i="18"/>
  <c r="J66" i="18"/>
  <c r="BL65" i="19"/>
  <c r="BM65" i="19" s="1"/>
  <c r="Y68" i="19"/>
  <c r="AA68" i="19"/>
  <c r="AO67" i="19"/>
  <c r="AJ67" i="19"/>
  <c r="AN67" i="19"/>
  <c r="AH67" i="19"/>
  <c r="AB68" i="19"/>
  <c r="Z68" i="19"/>
  <c r="AM67" i="19"/>
  <c r="AT67" i="19"/>
  <c r="AK67" i="19"/>
  <c r="AP67" i="19"/>
  <c r="AI67" i="19"/>
  <c r="AG67" i="19"/>
  <c r="AS67" i="19"/>
  <c r="AQ67" i="19"/>
  <c r="AR67" i="19"/>
  <c r="AU67" i="19"/>
  <c r="AL67" i="19"/>
  <c r="S67" i="18" l="1"/>
  <c r="U64" i="18"/>
  <c r="O67" i="18"/>
  <c r="T67" i="18"/>
  <c r="AE68" i="19"/>
  <c r="AF68" i="19"/>
  <c r="AC68" i="19"/>
  <c r="AZ67" i="19"/>
  <c r="M68" i="18" s="1"/>
  <c r="BH67" i="19"/>
  <c r="AX67" i="19"/>
  <c r="K68" i="18" s="1"/>
  <c r="BG67" i="19"/>
  <c r="R68" i="18" s="1"/>
  <c r="BD67" i="19"/>
  <c r="AW67" i="19"/>
  <c r="BF67" i="19"/>
  <c r="Q68" i="18" s="1"/>
  <c r="BK67" i="19"/>
  <c r="BA67" i="19"/>
  <c r="N68" i="18" s="1"/>
  <c r="BE67" i="19"/>
  <c r="BC67" i="19"/>
  <c r="BB67" i="19"/>
  <c r="AY67" i="19"/>
  <c r="L68" i="18" s="1"/>
  <c r="BJ67" i="19"/>
  <c r="BI67" i="19"/>
  <c r="P67" i="18"/>
  <c r="BL66" i="19"/>
  <c r="BM66" i="19" s="1"/>
  <c r="J67" i="18"/>
  <c r="W70" i="19"/>
  <c r="X69" i="19"/>
  <c r="AN68" i="19"/>
  <c r="AS68" i="19"/>
  <c r="AI68" i="19"/>
  <c r="AG68" i="19"/>
  <c r="AB69" i="19"/>
  <c r="AA69" i="19"/>
  <c r="AL68" i="19"/>
  <c r="Y69" i="19"/>
  <c r="AK68" i="19"/>
  <c r="AO68" i="19"/>
  <c r="AH68" i="19"/>
  <c r="AJ68" i="19"/>
  <c r="AP68" i="19"/>
  <c r="AQ68" i="19"/>
  <c r="AM68" i="19"/>
  <c r="Z69" i="19"/>
  <c r="AT68" i="19"/>
  <c r="AU68" i="19"/>
  <c r="AR68" i="19"/>
  <c r="P68" i="18" l="1"/>
  <c r="AE69" i="19"/>
  <c r="AC69" i="19"/>
  <c r="AF69" i="19"/>
  <c r="BG68" i="19"/>
  <c r="R69" i="18" s="1"/>
  <c r="BH68" i="19"/>
  <c r="BD68" i="19"/>
  <c r="AW68" i="19"/>
  <c r="AZ68" i="19"/>
  <c r="M69" i="18" s="1"/>
  <c r="AY68" i="19"/>
  <c r="L69" i="18" s="1"/>
  <c r="BJ68" i="19"/>
  <c r="BE68" i="19"/>
  <c r="BK68" i="19"/>
  <c r="AX68" i="19"/>
  <c r="K69" i="18" s="1"/>
  <c r="BI68" i="19"/>
  <c r="BC68" i="19"/>
  <c r="BA68" i="19"/>
  <c r="N69" i="18" s="1"/>
  <c r="BB68" i="19"/>
  <c r="BF68" i="19"/>
  <c r="Q69" i="18" s="1"/>
  <c r="X70" i="19"/>
  <c r="W71" i="19"/>
  <c r="O68" i="18"/>
  <c r="T68" i="18"/>
  <c r="BL67" i="19"/>
  <c r="BM67" i="19" s="1"/>
  <c r="J68" i="18"/>
  <c r="S68" i="18"/>
  <c r="AB70" i="19"/>
  <c r="AU69" i="19"/>
  <c r="AQ69" i="19"/>
  <c r="AM69" i="19"/>
  <c r="Y70" i="19"/>
  <c r="AO69" i="19"/>
  <c r="AG69" i="19"/>
  <c r="AR69" i="19"/>
  <c r="AN69" i="19"/>
  <c r="AJ69" i="19"/>
  <c r="AI69" i="19"/>
  <c r="AA70" i="19"/>
  <c r="AH69" i="19"/>
  <c r="AT69" i="19"/>
  <c r="AP69" i="19"/>
  <c r="Z70" i="19"/>
  <c r="AK69" i="19"/>
  <c r="AL69" i="19"/>
  <c r="AS69" i="19"/>
  <c r="O69" i="18" l="1"/>
  <c r="AC70" i="19"/>
  <c r="AE70" i="19"/>
  <c r="AF70" i="19"/>
  <c r="BK69" i="19"/>
  <c r="BA69" i="19"/>
  <c r="N70" i="18" s="1"/>
  <c r="BF69" i="19"/>
  <c r="Q70" i="18" s="1"/>
  <c r="BE69" i="19"/>
  <c r="BI69" i="19"/>
  <c r="BJ69" i="19"/>
  <c r="AZ69" i="19"/>
  <c r="M70" i="18" s="1"/>
  <c r="BC69" i="19"/>
  <c r="AW69" i="19"/>
  <c r="AX69" i="19"/>
  <c r="K70" i="18" s="1"/>
  <c r="BG69" i="19"/>
  <c r="R70" i="18" s="1"/>
  <c r="AY69" i="19"/>
  <c r="L70" i="18" s="1"/>
  <c r="BB69" i="19"/>
  <c r="BD69" i="19"/>
  <c r="BH69" i="19"/>
  <c r="J69" i="18"/>
  <c r="BL68" i="19"/>
  <c r="BM68" i="19" s="1"/>
  <c r="T69" i="18"/>
  <c r="P69" i="18"/>
  <c r="X71" i="19"/>
  <c r="W72" i="19"/>
  <c r="S69" i="18"/>
  <c r="AH70" i="19"/>
  <c r="AR70" i="19"/>
  <c r="AI70" i="19"/>
  <c r="AM70" i="19"/>
  <c r="AS70" i="19"/>
  <c r="AU70" i="19"/>
  <c r="AT70" i="19"/>
  <c r="AQ70" i="19"/>
  <c r="AB71" i="19"/>
  <c r="AJ70" i="19"/>
  <c r="AK70" i="19"/>
  <c r="AG70" i="19"/>
  <c r="AL70" i="19"/>
  <c r="AO70" i="19"/>
  <c r="Z71" i="19"/>
  <c r="AN70" i="19"/>
  <c r="AA71" i="19"/>
  <c r="Y71" i="19"/>
  <c r="AP70" i="19"/>
  <c r="S70" i="18" l="1"/>
  <c r="U67" i="18"/>
  <c r="P70" i="18"/>
  <c r="O70" i="18"/>
  <c r="AE71" i="19"/>
  <c r="AF71" i="19"/>
  <c r="AC71" i="19"/>
  <c r="BJ70" i="19"/>
  <c r="BK70" i="19"/>
  <c r="AY70" i="19"/>
  <c r="L71" i="18" s="1"/>
  <c r="AZ70" i="19"/>
  <c r="M71" i="18" s="1"/>
  <c r="BF70" i="19"/>
  <c r="Q71" i="18" s="1"/>
  <c r="BH70" i="19"/>
  <c r="AW70" i="19"/>
  <c r="BD70" i="19"/>
  <c r="BB70" i="19"/>
  <c r="BI70" i="19"/>
  <c r="BC70" i="19"/>
  <c r="BE70" i="19"/>
  <c r="BA70" i="19"/>
  <c r="N71" i="18" s="1"/>
  <c r="AX70" i="19"/>
  <c r="K71" i="18" s="1"/>
  <c r="BG70" i="19"/>
  <c r="R71" i="18" s="1"/>
  <c r="BL69" i="19"/>
  <c r="BM69" i="19" s="1"/>
  <c r="J70" i="18"/>
  <c r="X72" i="19"/>
  <c r="W73" i="19"/>
  <c r="T70" i="18"/>
  <c r="AP71" i="19"/>
  <c r="AT71" i="19"/>
  <c r="AN71" i="19"/>
  <c r="AS71" i="19"/>
  <c r="AU71" i="19"/>
  <c r="AB72" i="19"/>
  <c r="AK71" i="19"/>
  <c r="AH71" i="19"/>
  <c r="AM71" i="19"/>
  <c r="AJ71" i="19"/>
  <c r="AG71" i="19"/>
  <c r="AR71" i="19"/>
  <c r="AL71" i="19"/>
  <c r="AA72" i="19"/>
  <c r="Z72" i="19"/>
  <c r="AI71" i="19"/>
  <c r="AQ71" i="19"/>
  <c r="Y72" i="19"/>
  <c r="AO71" i="19"/>
  <c r="O71" i="18" l="1"/>
  <c r="T71" i="18"/>
  <c r="AF72" i="19"/>
  <c r="AE72" i="19"/>
  <c r="AC72" i="19"/>
  <c r="AX71" i="19"/>
  <c r="K72" i="18" s="1"/>
  <c r="BJ71" i="19"/>
  <c r="BH71" i="19"/>
  <c r="BF71" i="19"/>
  <c r="Q72" i="18" s="1"/>
  <c r="AW71" i="19"/>
  <c r="BC71" i="19"/>
  <c r="BI71" i="19"/>
  <c r="BB71" i="19"/>
  <c r="AZ71" i="19"/>
  <c r="M72" i="18" s="1"/>
  <c r="BK71" i="19"/>
  <c r="AY71" i="19"/>
  <c r="L72" i="18" s="1"/>
  <c r="BG71" i="19"/>
  <c r="R72" i="18" s="1"/>
  <c r="BD71" i="19"/>
  <c r="BA71" i="19"/>
  <c r="N72" i="18" s="1"/>
  <c r="BE71" i="19"/>
  <c r="X73" i="19"/>
  <c r="W74" i="19"/>
  <c r="P71" i="18"/>
  <c r="BL70" i="19"/>
  <c r="BM70" i="19" s="1"/>
  <c r="J71" i="18"/>
  <c r="S71" i="18"/>
  <c r="AR72" i="19"/>
  <c r="AU72" i="19"/>
  <c r="Z73" i="19"/>
  <c r="AH72" i="19"/>
  <c r="AL72" i="19"/>
  <c r="AA73" i="19"/>
  <c r="AI72" i="19"/>
  <c r="Y73" i="19"/>
  <c r="AN72" i="19"/>
  <c r="AK72" i="19"/>
  <c r="AQ72" i="19"/>
  <c r="AB73" i="19"/>
  <c r="AM72" i="19"/>
  <c r="AS72" i="19"/>
  <c r="AG72" i="19"/>
  <c r="AO72" i="19"/>
  <c r="AJ72" i="19"/>
  <c r="AT72" i="19"/>
  <c r="AP72" i="19"/>
  <c r="O72" i="18" l="1"/>
  <c r="P72" i="18"/>
  <c r="AC73" i="19"/>
  <c r="AE73" i="19"/>
  <c r="AF73" i="19"/>
  <c r="AZ72" i="19"/>
  <c r="M73" i="18" s="1"/>
  <c r="BJ72" i="19"/>
  <c r="AY72" i="19"/>
  <c r="L73" i="18" s="1"/>
  <c r="BE72" i="19"/>
  <c r="BG72" i="19"/>
  <c r="R73" i="18" s="1"/>
  <c r="AW72" i="19"/>
  <c r="BD72" i="19"/>
  <c r="BK72" i="19"/>
  <c r="BH72" i="19"/>
  <c r="BF72" i="19"/>
  <c r="Q73" i="18" s="1"/>
  <c r="BB72" i="19"/>
  <c r="BI72" i="19"/>
  <c r="BC72" i="19"/>
  <c r="AX72" i="19"/>
  <c r="K73" i="18" s="1"/>
  <c r="BA72" i="19"/>
  <c r="N73" i="18" s="1"/>
  <c r="J72" i="18"/>
  <c r="BL71" i="19"/>
  <c r="BM71" i="19" s="1"/>
  <c r="S72" i="18"/>
  <c r="X74" i="19"/>
  <c r="W75" i="19"/>
  <c r="T72" i="18"/>
  <c r="AQ73" i="19"/>
  <c r="Y74" i="19"/>
  <c r="AL73" i="19"/>
  <c r="AJ73" i="19"/>
  <c r="AT73" i="19"/>
  <c r="AS73" i="19"/>
  <c r="AA74" i="19"/>
  <c r="AP73" i="19"/>
  <c r="AM73" i="19"/>
  <c r="AH73" i="19"/>
  <c r="AB74" i="19"/>
  <c r="AO73" i="19"/>
  <c r="AI73" i="19"/>
  <c r="AG73" i="19"/>
  <c r="AU73" i="19"/>
  <c r="AR73" i="19"/>
  <c r="AN73" i="19"/>
  <c r="Z74" i="19"/>
  <c r="AK73" i="19"/>
  <c r="U70" i="18" l="1"/>
  <c r="P73" i="18"/>
  <c r="S73" i="18"/>
  <c r="AE74" i="19"/>
  <c r="AC74" i="19"/>
  <c r="AF74" i="19"/>
  <c r="BD73" i="19"/>
  <c r="BG73" i="19"/>
  <c r="R74" i="18" s="1"/>
  <c r="BF73" i="19"/>
  <c r="Q74" i="18" s="1"/>
  <c r="BJ73" i="19"/>
  <c r="BH73" i="19"/>
  <c r="AZ73" i="19"/>
  <c r="M74" i="18" s="1"/>
  <c r="AY73" i="19"/>
  <c r="L74" i="18" s="1"/>
  <c r="BK73" i="19"/>
  <c r="BI73" i="19"/>
  <c r="BA73" i="19"/>
  <c r="N74" i="18" s="1"/>
  <c r="AW73" i="19"/>
  <c r="AX73" i="19"/>
  <c r="K74" i="18" s="1"/>
  <c r="BB73" i="19"/>
  <c r="BC73" i="19"/>
  <c r="BE73" i="19"/>
  <c r="W76" i="19"/>
  <c r="X75" i="19"/>
  <c r="O73" i="18"/>
  <c r="J73" i="18"/>
  <c r="BL72" i="19"/>
  <c r="BM72" i="19" s="1"/>
  <c r="T73" i="18"/>
  <c r="AH74" i="19"/>
  <c r="AJ74" i="19"/>
  <c r="AT74" i="19"/>
  <c r="AQ74" i="19"/>
  <c r="AI74" i="19"/>
  <c r="Y75" i="19"/>
  <c r="AO74" i="19"/>
  <c r="AR74" i="19"/>
  <c r="Z75" i="19"/>
  <c r="AS74" i="19"/>
  <c r="AK74" i="19"/>
  <c r="AA75" i="19"/>
  <c r="AM74" i="19"/>
  <c r="AP74" i="19"/>
  <c r="AB75" i="19"/>
  <c r="AU74" i="19"/>
  <c r="AG74" i="19"/>
  <c r="AN74" i="19"/>
  <c r="AL74" i="19"/>
  <c r="O74" i="18" l="1"/>
  <c r="P74" i="18"/>
  <c r="AX74" i="19"/>
  <c r="K75" i="18" s="1"/>
  <c r="AY74" i="19"/>
  <c r="L75" i="18" s="1"/>
  <c r="AZ74" i="19"/>
  <c r="M75" i="18" s="1"/>
  <c r="BG74" i="19"/>
  <c r="R75" i="18" s="1"/>
  <c r="BK74" i="19"/>
  <c r="BF74" i="19"/>
  <c r="Q75" i="18" s="1"/>
  <c r="BH74" i="19"/>
  <c r="BE74" i="19"/>
  <c r="BA74" i="19"/>
  <c r="N75" i="18" s="1"/>
  <c r="BC74" i="19"/>
  <c r="BB74" i="19"/>
  <c r="BJ74" i="19"/>
  <c r="AW74" i="19"/>
  <c r="BI74" i="19"/>
  <c r="BD74" i="19"/>
  <c r="AC75" i="19"/>
  <c r="AE75" i="19"/>
  <c r="AF75" i="19"/>
  <c r="S74" i="18"/>
  <c r="X76" i="19"/>
  <c r="W77" i="19"/>
  <c r="T74" i="18"/>
  <c r="J74" i="18"/>
  <c r="BL73" i="19"/>
  <c r="BM73" i="19" s="1"/>
  <c r="AJ75" i="19"/>
  <c r="AG75" i="19"/>
  <c r="AA76" i="19"/>
  <c r="AQ75" i="19"/>
  <c r="AU75" i="19"/>
  <c r="AB76" i="19"/>
  <c r="AN75" i="19"/>
  <c r="AO75" i="19"/>
  <c r="Z76" i="19"/>
  <c r="AR75" i="19"/>
  <c r="AM75" i="19"/>
  <c r="AS75" i="19"/>
  <c r="AP75" i="19"/>
  <c r="AK75" i="19"/>
  <c r="Y76" i="19"/>
  <c r="AI75" i="19"/>
  <c r="AH75" i="19"/>
  <c r="AT75" i="19"/>
  <c r="AL75" i="19"/>
  <c r="T75" i="18" l="1"/>
  <c r="O75" i="18"/>
  <c r="BG75" i="19"/>
  <c r="R76" i="18" s="1"/>
  <c r="BA75" i="19"/>
  <c r="N76" i="18" s="1"/>
  <c r="BJ75" i="19"/>
  <c r="BK75" i="19"/>
  <c r="AZ75" i="19"/>
  <c r="M76" i="18" s="1"/>
  <c r="BI75" i="19"/>
  <c r="BB75" i="19"/>
  <c r="BH75" i="19"/>
  <c r="BC75" i="19"/>
  <c r="BE75" i="19"/>
  <c r="AW75" i="19"/>
  <c r="AY75" i="19"/>
  <c r="L76" i="18" s="1"/>
  <c r="BF75" i="19"/>
  <c r="Q76" i="18" s="1"/>
  <c r="BD75" i="19"/>
  <c r="AX75" i="19"/>
  <c r="K76" i="18" s="1"/>
  <c r="AF76" i="19"/>
  <c r="AC76" i="19"/>
  <c r="AE76" i="19"/>
  <c r="P75" i="18"/>
  <c r="U73" i="18" s="1"/>
  <c r="S75" i="18"/>
  <c r="W78" i="19"/>
  <c r="X77" i="19"/>
  <c r="BL74" i="19"/>
  <c r="BM74" i="19" s="1"/>
  <c r="J75" i="18"/>
  <c r="AJ76" i="19"/>
  <c r="Z77" i="19"/>
  <c r="Y77" i="19"/>
  <c r="AM76" i="19"/>
  <c r="AL76" i="19"/>
  <c r="AT76" i="19"/>
  <c r="AU76" i="19"/>
  <c r="AI76" i="19"/>
  <c r="AS76" i="19"/>
  <c r="AH76" i="19"/>
  <c r="AN76" i="19"/>
  <c r="AP76" i="19"/>
  <c r="AA77" i="19"/>
  <c r="AG76" i="19"/>
  <c r="AB77" i="19"/>
  <c r="AQ76" i="19"/>
  <c r="AO76" i="19"/>
  <c r="AK76" i="19"/>
  <c r="AR76" i="19"/>
  <c r="P76" i="18" l="1"/>
  <c r="S76" i="18"/>
  <c r="BH76" i="19"/>
  <c r="BC76" i="19"/>
  <c r="BJ76" i="19"/>
  <c r="AZ76" i="19"/>
  <c r="M77" i="18" s="1"/>
  <c r="BF76" i="19"/>
  <c r="Q77" i="18" s="1"/>
  <c r="BA76" i="19"/>
  <c r="N77" i="18" s="1"/>
  <c r="BG76" i="19"/>
  <c r="R77" i="18" s="1"/>
  <c r="AX76" i="19"/>
  <c r="K77" i="18" s="1"/>
  <c r="BE76" i="19"/>
  <c r="BK76" i="19"/>
  <c r="BD76" i="19"/>
  <c r="AY76" i="19"/>
  <c r="L77" i="18" s="1"/>
  <c r="AW76" i="19"/>
  <c r="BB76" i="19"/>
  <c r="BI76" i="19"/>
  <c r="AF77" i="19"/>
  <c r="AC77" i="19"/>
  <c r="AE77" i="19"/>
  <c r="J76" i="18"/>
  <c r="BL75" i="19"/>
  <c r="BM75" i="19" s="1"/>
  <c r="O76" i="18"/>
  <c r="T76" i="18"/>
  <c r="X78" i="19"/>
  <c r="W79" i="19"/>
  <c r="AP77" i="19"/>
  <c r="Y78" i="19"/>
  <c r="AL77" i="19"/>
  <c r="AM77" i="19"/>
  <c r="AJ77" i="19"/>
  <c r="AH77" i="19"/>
  <c r="AG77" i="19"/>
  <c r="AK77" i="19"/>
  <c r="AA78" i="19"/>
  <c r="AB78" i="19"/>
  <c r="AT77" i="19"/>
  <c r="Z78" i="19"/>
  <c r="AR77" i="19"/>
  <c r="AU77" i="19"/>
  <c r="AI77" i="19"/>
  <c r="AO77" i="19"/>
  <c r="AS77" i="19"/>
  <c r="AQ77" i="19"/>
  <c r="AN77" i="19"/>
  <c r="O77" i="18" l="1"/>
  <c r="P77" i="18"/>
  <c r="AC78" i="19"/>
  <c r="AF78" i="19"/>
  <c r="AE78" i="19"/>
  <c r="BI77" i="19"/>
  <c r="BJ77" i="19"/>
  <c r="BA77" i="19"/>
  <c r="N78" i="18" s="1"/>
  <c r="BE77" i="19"/>
  <c r="BD77" i="19"/>
  <c r="BG77" i="19"/>
  <c r="R78" i="18" s="1"/>
  <c r="BH77" i="19"/>
  <c r="BC77" i="19"/>
  <c r="BK77" i="19"/>
  <c r="BB77" i="19"/>
  <c r="BF77" i="19"/>
  <c r="Q78" i="18" s="1"/>
  <c r="AW77" i="19"/>
  <c r="AX77" i="19"/>
  <c r="K78" i="18" s="1"/>
  <c r="AZ77" i="19"/>
  <c r="M78" i="18" s="1"/>
  <c r="AY77" i="19"/>
  <c r="L78" i="18" s="1"/>
  <c r="T77" i="18"/>
  <c r="X79" i="19"/>
  <c r="W80" i="19"/>
  <c r="BL76" i="19"/>
  <c r="BM76" i="19" s="1"/>
  <c r="J77" i="18"/>
  <c r="S77" i="18"/>
  <c r="AT78" i="19"/>
  <c r="AR78" i="19"/>
  <c r="AK78" i="19"/>
  <c r="AI78" i="19"/>
  <c r="Z79" i="19"/>
  <c r="AJ78" i="19"/>
  <c r="AO78" i="19"/>
  <c r="AG78" i="19"/>
  <c r="AB79" i="19"/>
  <c r="AM78" i="19"/>
  <c r="AH78" i="19"/>
  <c r="AL78" i="19"/>
  <c r="AP78" i="19"/>
  <c r="AS78" i="19"/>
  <c r="AQ78" i="19"/>
  <c r="Y79" i="19"/>
  <c r="AA79" i="19"/>
  <c r="AN78" i="19"/>
  <c r="AU78" i="19"/>
  <c r="O78" i="18" l="1"/>
  <c r="P78" i="18"/>
  <c r="BJ78" i="19"/>
  <c r="BF78" i="19"/>
  <c r="Q79" i="18" s="1"/>
  <c r="AW78" i="19"/>
  <c r="BK78" i="19"/>
  <c r="AX78" i="19"/>
  <c r="K79" i="18" s="1"/>
  <c r="BD78" i="19"/>
  <c r="BC78" i="19"/>
  <c r="BB78" i="19"/>
  <c r="BA78" i="19"/>
  <c r="N79" i="18" s="1"/>
  <c r="AZ78" i="19"/>
  <c r="M79" i="18" s="1"/>
  <c r="BE78" i="19"/>
  <c r="BI78" i="19"/>
  <c r="AY78" i="19"/>
  <c r="L79" i="18" s="1"/>
  <c r="BG78" i="19"/>
  <c r="R79" i="18" s="1"/>
  <c r="BH78" i="19"/>
  <c r="AC79" i="19"/>
  <c r="AE79" i="19"/>
  <c r="AF79" i="19"/>
  <c r="BL77" i="19"/>
  <c r="BM77" i="19" s="1"/>
  <c r="J78" i="18"/>
  <c r="X80" i="19"/>
  <c r="W81" i="19"/>
  <c r="S78" i="18"/>
  <c r="T78" i="18"/>
  <c r="AN79" i="19"/>
  <c r="AL79" i="19"/>
  <c r="AR79" i="19"/>
  <c r="AT79" i="19"/>
  <c r="AG79" i="19"/>
  <c r="AU79" i="19"/>
  <c r="AO79" i="19"/>
  <c r="Y80" i="19"/>
  <c r="AK79" i="19"/>
  <c r="AA80" i="19"/>
  <c r="AS79" i="19"/>
  <c r="AM79" i="19"/>
  <c r="Z80" i="19"/>
  <c r="AQ79" i="19"/>
  <c r="AP79" i="19"/>
  <c r="AH79" i="19"/>
  <c r="AI79" i="19"/>
  <c r="AJ79" i="19"/>
  <c r="AB80" i="19"/>
  <c r="U76" i="18" l="1"/>
  <c r="O79" i="18"/>
  <c r="P79" i="18"/>
  <c r="AF80" i="19"/>
  <c r="AE80" i="19"/>
  <c r="AC80" i="19"/>
  <c r="BE79" i="19"/>
  <c r="BB79" i="19"/>
  <c r="BG79" i="19"/>
  <c r="R80" i="18" s="1"/>
  <c r="AX79" i="19"/>
  <c r="K80" i="18" s="1"/>
  <c r="BJ79" i="19"/>
  <c r="AZ79" i="19"/>
  <c r="M80" i="18" s="1"/>
  <c r="BD79" i="19"/>
  <c r="BH79" i="19"/>
  <c r="BK79" i="19"/>
  <c r="BF79" i="19"/>
  <c r="Q80" i="18" s="1"/>
  <c r="AY79" i="19"/>
  <c r="L80" i="18" s="1"/>
  <c r="AW79" i="19"/>
  <c r="BC79" i="19"/>
  <c r="BI79" i="19"/>
  <c r="BA79" i="19"/>
  <c r="N80" i="18" s="1"/>
  <c r="W82" i="19"/>
  <c r="X81" i="19"/>
  <c r="S79" i="18"/>
  <c r="BL78" i="19"/>
  <c r="BM78" i="19" s="1"/>
  <c r="J79" i="18"/>
  <c r="T79" i="18"/>
  <c r="AA81" i="19"/>
  <c r="AM80" i="19"/>
  <c r="AS80" i="19"/>
  <c r="AL80" i="19"/>
  <c r="Z81" i="19"/>
  <c r="AN80" i="19"/>
  <c r="AH80" i="19"/>
  <c r="AI80" i="19"/>
  <c r="AG80" i="19"/>
  <c r="Y81" i="19"/>
  <c r="AJ80" i="19"/>
  <c r="AO80" i="19"/>
  <c r="AR80" i="19"/>
  <c r="AB81" i="19"/>
  <c r="AU80" i="19"/>
  <c r="AQ80" i="19"/>
  <c r="AK80" i="19"/>
  <c r="AT80" i="19"/>
  <c r="AP80" i="19"/>
  <c r="AF81" i="19" l="1"/>
  <c r="AE81" i="19"/>
  <c r="AC81" i="19"/>
  <c r="AZ80" i="19"/>
  <c r="M81" i="18" s="1"/>
  <c r="BH80" i="19"/>
  <c r="BI80" i="19"/>
  <c r="BK80" i="19"/>
  <c r="BE80" i="19"/>
  <c r="BC80" i="19"/>
  <c r="AW80" i="19"/>
  <c r="BB80" i="19"/>
  <c r="AX80" i="19"/>
  <c r="K81" i="18" s="1"/>
  <c r="BJ80" i="19"/>
  <c r="BD80" i="19"/>
  <c r="AY80" i="19"/>
  <c r="L81" i="18" s="1"/>
  <c r="BF80" i="19"/>
  <c r="Q81" i="18" s="1"/>
  <c r="BG80" i="19"/>
  <c r="R81" i="18" s="1"/>
  <c r="BA80" i="19"/>
  <c r="N81" i="18" s="1"/>
  <c r="W83" i="19"/>
  <c r="X82" i="19"/>
  <c r="T80" i="18"/>
  <c r="BL79" i="19"/>
  <c r="BM79" i="19" s="1"/>
  <c r="J80" i="18"/>
  <c r="S80" i="18"/>
  <c r="P80" i="18"/>
  <c r="O80" i="18"/>
  <c r="AR81" i="19"/>
  <c r="AM81" i="19"/>
  <c r="AS81" i="19"/>
  <c r="AA82" i="19"/>
  <c r="AQ81" i="19"/>
  <c r="AN81" i="19"/>
  <c r="Y82" i="19"/>
  <c r="AT81" i="19"/>
  <c r="AL81" i="19"/>
  <c r="Z82" i="19"/>
  <c r="AO81" i="19"/>
  <c r="AB82" i="19"/>
  <c r="AH81" i="19"/>
  <c r="AG81" i="19"/>
  <c r="AK81" i="19"/>
  <c r="AP81" i="19"/>
  <c r="AJ81" i="19"/>
  <c r="AI81" i="19"/>
  <c r="AU81" i="19"/>
  <c r="O81" i="18" l="1"/>
  <c r="T81" i="18"/>
  <c r="AF82" i="19"/>
  <c r="AC82" i="19"/>
  <c r="AE82" i="19"/>
  <c r="AY81" i="19"/>
  <c r="L82" i="18" s="1"/>
  <c r="BJ81" i="19"/>
  <c r="BE81" i="19"/>
  <c r="BD81" i="19"/>
  <c r="BF81" i="19"/>
  <c r="Q82" i="18" s="1"/>
  <c r="BB81" i="19"/>
  <c r="BI81" i="19"/>
  <c r="AZ81" i="19"/>
  <c r="M82" i="18" s="1"/>
  <c r="BH81" i="19"/>
  <c r="BK81" i="19"/>
  <c r="BG81" i="19"/>
  <c r="R82" i="18" s="1"/>
  <c r="BC81" i="19"/>
  <c r="AW81" i="19"/>
  <c r="BA81" i="19"/>
  <c r="N82" i="18" s="1"/>
  <c r="AX81" i="19"/>
  <c r="K82" i="18" s="1"/>
  <c r="W84" i="19"/>
  <c r="X83" i="19"/>
  <c r="P81" i="18"/>
  <c r="J81" i="18"/>
  <c r="BL80" i="19"/>
  <c r="BM80" i="19" s="1"/>
  <c r="S81" i="18"/>
  <c r="AR82" i="19"/>
  <c r="AA83" i="19"/>
  <c r="AP82" i="19"/>
  <c r="AT82" i="19"/>
  <c r="AL82" i="19"/>
  <c r="AM82" i="19"/>
  <c r="AJ82" i="19"/>
  <c r="AS82" i="19"/>
  <c r="AH82" i="19"/>
  <c r="AI82" i="19"/>
  <c r="AG82" i="19"/>
  <c r="Z83" i="19"/>
  <c r="Y83" i="19"/>
  <c r="AO82" i="19"/>
  <c r="AQ82" i="19"/>
  <c r="AK82" i="19"/>
  <c r="AB83" i="19"/>
  <c r="AN82" i="19"/>
  <c r="AU82" i="19"/>
  <c r="S82" i="18" l="1"/>
  <c r="U79" i="18"/>
  <c r="P82" i="18"/>
  <c r="AC83" i="19"/>
  <c r="AF83" i="19"/>
  <c r="AE83" i="19"/>
  <c r="AW82" i="19"/>
  <c r="BG82" i="19"/>
  <c r="R83" i="18" s="1"/>
  <c r="BF82" i="19"/>
  <c r="Q83" i="18" s="1"/>
  <c r="BK82" i="19"/>
  <c r="BH82" i="19"/>
  <c r="BJ82" i="19"/>
  <c r="AY82" i="19"/>
  <c r="L83" i="18" s="1"/>
  <c r="AZ82" i="19"/>
  <c r="M83" i="18" s="1"/>
  <c r="BI82" i="19"/>
  <c r="BE82" i="19"/>
  <c r="BC82" i="19"/>
  <c r="BD82" i="19"/>
  <c r="AX82" i="19"/>
  <c r="K83" i="18" s="1"/>
  <c r="BA82" i="19"/>
  <c r="N83" i="18" s="1"/>
  <c r="BB82" i="19"/>
  <c r="O83" i="18" s="1"/>
  <c r="W85" i="19"/>
  <c r="X84" i="19"/>
  <c r="J82" i="18"/>
  <c r="BL81" i="19"/>
  <c r="BM81" i="19" s="1"/>
  <c r="O82" i="18"/>
  <c r="T82" i="18"/>
  <c r="AK83" i="19"/>
  <c r="AP83" i="19"/>
  <c r="AQ83" i="19"/>
  <c r="AR83" i="19"/>
  <c r="AI83" i="19"/>
  <c r="Z84" i="19"/>
  <c r="AO83" i="19"/>
  <c r="Y84" i="19"/>
  <c r="AN83" i="19"/>
  <c r="AA84" i="19"/>
  <c r="AL83" i="19"/>
  <c r="AS83" i="19"/>
  <c r="AT83" i="19"/>
  <c r="AM83" i="19"/>
  <c r="AB84" i="19"/>
  <c r="AJ83" i="19"/>
  <c r="AU83" i="19"/>
  <c r="AH83" i="19"/>
  <c r="AG83" i="19"/>
  <c r="T83" i="18" l="1"/>
  <c r="P83" i="18"/>
  <c r="BK83" i="19"/>
  <c r="BC83" i="19"/>
  <c r="BB83" i="19"/>
  <c r="AX83" i="19"/>
  <c r="K84" i="18" s="1"/>
  <c r="BE83" i="19"/>
  <c r="AY83" i="19"/>
  <c r="L84" i="18" s="1"/>
  <c r="BI83" i="19"/>
  <c r="AZ83" i="19"/>
  <c r="M84" i="18" s="1"/>
  <c r="BA83" i="19"/>
  <c r="N84" i="18" s="1"/>
  <c r="BJ83" i="19"/>
  <c r="T84" i="18" s="1"/>
  <c r="BG83" i="19"/>
  <c r="R84" i="18" s="1"/>
  <c r="BD83" i="19"/>
  <c r="BF83" i="19"/>
  <c r="Q84" i="18" s="1"/>
  <c r="BH83" i="19"/>
  <c r="AW83" i="19"/>
  <c r="AC84" i="19"/>
  <c r="AF84" i="19"/>
  <c r="AE84" i="19"/>
  <c r="X85" i="19"/>
  <c r="W86" i="19"/>
  <c r="S83" i="18"/>
  <c r="J83" i="18"/>
  <c r="BL82" i="19"/>
  <c r="BM82" i="19" s="1"/>
  <c r="AA85" i="19"/>
  <c r="AJ84" i="19"/>
  <c r="AP84" i="19"/>
  <c r="AK84" i="19"/>
  <c r="AO84" i="19"/>
  <c r="AN84" i="19"/>
  <c r="AB85" i="19"/>
  <c r="AI84" i="19"/>
  <c r="AQ84" i="19"/>
  <c r="AR84" i="19"/>
  <c r="AG84" i="19"/>
  <c r="Z85" i="19"/>
  <c r="AS84" i="19"/>
  <c r="AM84" i="19"/>
  <c r="AU84" i="19"/>
  <c r="AL84" i="19"/>
  <c r="AT84" i="19"/>
  <c r="AH84" i="19"/>
  <c r="Y85" i="19"/>
  <c r="S84" i="18" l="1"/>
  <c r="P84" i="18"/>
  <c r="O84" i="18"/>
  <c r="AE85" i="19"/>
  <c r="AC85" i="19"/>
  <c r="AF85" i="19"/>
  <c r="BE84" i="19"/>
  <c r="BG84" i="19"/>
  <c r="R85" i="18" s="1"/>
  <c r="AZ84" i="19"/>
  <c r="M85" i="18" s="1"/>
  <c r="BA84" i="19"/>
  <c r="N85" i="18" s="1"/>
  <c r="AW84" i="19"/>
  <c r="BD84" i="19"/>
  <c r="BJ84" i="19"/>
  <c r="BI84" i="19"/>
  <c r="BH84" i="19"/>
  <c r="BB84" i="19"/>
  <c r="BK84" i="19"/>
  <c r="AX84" i="19"/>
  <c r="K85" i="18" s="1"/>
  <c r="BC84" i="19"/>
  <c r="BF84" i="19"/>
  <c r="Q85" i="18" s="1"/>
  <c r="AY84" i="19"/>
  <c r="L85" i="18" s="1"/>
  <c r="J84" i="18"/>
  <c r="BL83" i="19"/>
  <c r="BM83" i="19" s="1"/>
  <c r="X86" i="19"/>
  <c r="W87" i="19"/>
  <c r="AL85" i="19"/>
  <c r="Y86" i="19"/>
  <c r="AA86" i="19"/>
  <c r="Z86" i="19"/>
  <c r="AQ85" i="19"/>
  <c r="AT85" i="19"/>
  <c r="AO85" i="19"/>
  <c r="AK85" i="19"/>
  <c r="AJ85" i="19"/>
  <c r="AI85" i="19"/>
  <c r="AB86" i="19"/>
  <c r="AH85" i="19"/>
  <c r="AR85" i="19"/>
  <c r="AP85" i="19"/>
  <c r="AS85" i="19"/>
  <c r="AN85" i="19"/>
  <c r="AU85" i="19"/>
  <c r="AM85" i="19"/>
  <c r="AG85" i="19"/>
  <c r="S85" i="18" l="1"/>
  <c r="U82" i="18"/>
  <c r="BJ85" i="19"/>
  <c r="BC85" i="19"/>
  <c r="BK85" i="19"/>
  <c r="AZ85" i="19"/>
  <c r="M86" i="18" s="1"/>
  <c r="BB85" i="19"/>
  <c r="BI85" i="19"/>
  <c r="BH85" i="19"/>
  <c r="AW85" i="19"/>
  <c r="BG85" i="19"/>
  <c r="R86" i="18" s="1"/>
  <c r="BE85" i="19"/>
  <c r="BA85" i="19"/>
  <c r="N86" i="18" s="1"/>
  <c r="BD85" i="19"/>
  <c r="AY85" i="19"/>
  <c r="L86" i="18" s="1"/>
  <c r="BF85" i="19"/>
  <c r="Q86" i="18" s="1"/>
  <c r="AX85" i="19"/>
  <c r="K86" i="18" s="1"/>
  <c r="AC86" i="19"/>
  <c r="AF86" i="19"/>
  <c r="AE86" i="19"/>
  <c r="J85" i="18"/>
  <c r="BL84" i="19"/>
  <c r="BM84" i="19" s="1"/>
  <c r="X87" i="19"/>
  <c r="W88" i="19"/>
  <c r="T85" i="18"/>
  <c r="O85" i="18"/>
  <c r="P85" i="18"/>
  <c r="AT86" i="19"/>
  <c r="Z87" i="19"/>
  <c r="AR86" i="19"/>
  <c r="AJ86" i="19"/>
  <c r="AM86" i="19"/>
  <c r="AL86" i="19"/>
  <c r="AN86" i="19"/>
  <c r="AK86" i="19"/>
  <c r="AQ86" i="19"/>
  <c r="AU86" i="19"/>
  <c r="AG86" i="19"/>
  <c r="AI86" i="19"/>
  <c r="AS86" i="19"/>
  <c r="AB87" i="19"/>
  <c r="Y87" i="19"/>
  <c r="AP86" i="19"/>
  <c r="AH86" i="19"/>
  <c r="AO86" i="19"/>
  <c r="AA87" i="19"/>
  <c r="O86" i="18" l="1"/>
  <c r="S86" i="18"/>
  <c r="P86" i="18"/>
  <c r="T86" i="18"/>
  <c r="AF87" i="19"/>
  <c r="AC87" i="19"/>
  <c r="AE87" i="19"/>
  <c r="BC86" i="19"/>
  <c r="BJ86" i="19"/>
  <c r="BB86" i="19"/>
  <c r="AX86" i="19"/>
  <c r="K87" i="18" s="1"/>
  <c r="BH86" i="19"/>
  <c r="BI86" i="19"/>
  <c r="AY86" i="19"/>
  <c r="L87" i="18" s="1"/>
  <c r="BE86" i="19"/>
  <c r="BG86" i="19"/>
  <c r="R87" i="18" s="1"/>
  <c r="BF86" i="19"/>
  <c r="Q87" i="18" s="1"/>
  <c r="AW86" i="19"/>
  <c r="BA86" i="19"/>
  <c r="N87" i="18" s="1"/>
  <c r="BD86" i="19"/>
  <c r="AZ86" i="19"/>
  <c r="M87" i="18" s="1"/>
  <c r="BK86" i="19"/>
  <c r="BL85" i="19"/>
  <c r="BM85" i="19" s="1"/>
  <c r="J86" i="18"/>
  <c r="X88" i="19"/>
  <c r="W89" i="19"/>
  <c r="AB88" i="19"/>
  <c r="AH87" i="19"/>
  <c r="AN87" i="19"/>
  <c r="AU87" i="19"/>
  <c r="AP87" i="19"/>
  <c r="AA88" i="19"/>
  <c r="AS87" i="19"/>
  <c r="AQ87" i="19"/>
  <c r="AO87" i="19"/>
  <c r="AR87" i="19"/>
  <c r="AK87" i="19"/>
  <c r="Z88" i="19"/>
  <c r="AM87" i="19"/>
  <c r="AJ87" i="19"/>
  <c r="AL87" i="19"/>
  <c r="AI87" i="19"/>
  <c r="AT87" i="19"/>
  <c r="AG87" i="19"/>
  <c r="Y88" i="19"/>
  <c r="O87" i="18" l="1"/>
  <c r="P87" i="18"/>
  <c r="AC88" i="19"/>
  <c r="AF88" i="19"/>
  <c r="AE88" i="19"/>
  <c r="BE87" i="19"/>
  <c r="BI87" i="19"/>
  <c r="BJ87" i="19"/>
  <c r="AX87" i="19"/>
  <c r="K88" i="18" s="1"/>
  <c r="BD87" i="19"/>
  <c r="P88" i="18" s="1"/>
  <c r="BG87" i="19"/>
  <c r="R88" i="18" s="1"/>
  <c r="BK87" i="19"/>
  <c r="BB87" i="19"/>
  <c r="BC87" i="19"/>
  <c r="AY87" i="19"/>
  <c r="L88" i="18" s="1"/>
  <c r="AW87" i="19"/>
  <c r="BA87" i="19"/>
  <c r="N88" i="18" s="1"/>
  <c r="BF87" i="19"/>
  <c r="Q88" i="18" s="1"/>
  <c r="AZ87" i="19"/>
  <c r="M88" i="18" s="1"/>
  <c r="BH87" i="19"/>
  <c r="S88" i="18" s="1"/>
  <c r="S87" i="18"/>
  <c r="W90" i="19"/>
  <c r="X89" i="19"/>
  <c r="BL86" i="19"/>
  <c r="BM86" i="19" s="1"/>
  <c r="J87" i="18"/>
  <c r="T87" i="18"/>
  <c r="AM88" i="19"/>
  <c r="AH88" i="19"/>
  <c r="AA89" i="19"/>
  <c r="AS88" i="19"/>
  <c r="AG88" i="19"/>
  <c r="AR88" i="19"/>
  <c r="AU88" i="19"/>
  <c r="AQ88" i="19"/>
  <c r="AB89" i="19"/>
  <c r="AL88" i="19"/>
  <c r="AK88" i="19"/>
  <c r="AI88" i="19"/>
  <c r="Z89" i="19"/>
  <c r="AJ88" i="19"/>
  <c r="AO88" i="19"/>
  <c r="AP88" i="19"/>
  <c r="Y89" i="19"/>
  <c r="AT88" i="19"/>
  <c r="AN88" i="19"/>
  <c r="BB88" i="19" l="1"/>
  <c r="BJ88" i="19"/>
  <c r="AX88" i="19"/>
  <c r="K89" i="18" s="1"/>
  <c r="BE88" i="19"/>
  <c r="BG88" i="19"/>
  <c r="R89" i="18" s="1"/>
  <c r="BH88" i="19"/>
  <c r="BK88" i="19"/>
  <c r="AW88" i="19"/>
  <c r="AY88" i="19"/>
  <c r="L89" i="18" s="1"/>
  <c r="AZ88" i="19"/>
  <c r="M89" i="18" s="1"/>
  <c r="BA88" i="19"/>
  <c r="N89" i="18" s="1"/>
  <c r="BC88" i="19"/>
  <c r="BI88" i="19"/>
  <c r="BF88" i="19"/>
  <c r="Q89" i="18" s="1"/>
  <c r="BD88" i="19"/>
  <c r="AE89" i="19"/>
  <c r="AC89" i="19"/>
  <c r="AF89" i="19"/>
  <c r="W91" i="19"/>
  <c r="X90" i="19"/>
  <c r="U85" i="18"/>
  <c r="O88" i="18"/>
  <c r="J88" i="18"/>
  <c r="BL87" i="19"/>
  <c r="BM87" i="19" s="1"/>
  <c r="T88" i="18"/>
  <c r="AH89" i="19"/>
  <c r="AP89" i="19"/>
  <c r="Y90" i="19"/>
  <c r="AT89" i="19"/>
  <c r="AG89" i="19"/>
  <c r="AU89" i="19"/>
  <c r="AJ89" i="19"/>
  <c r="AL89" i="19"/>
  <c r="AN89" i="19"/>
  <c r="AS89" i="19"/>
  <c r="AR89" i="19"/>
  <c r="AK89" i="19"/>
  <c r="AO89" i="19"/>
  <c r="AM89" i="19"/>
  <c r="AA90" i="19"/>
  <c r="Z90" i="19"/>
  <c r="AB90" i="19"/>
  <c r="AI89" i="19"/>
  <c r="AQ89" i="19"/>
  <c r="AF90" i="19" l="1"/>
  <c r="AE90" i="19"/>
  <c r="AC90" i="19"/>
  <c r="AY89" i="19"/>
  <c r="L90" i="18" s="1"/>
  <c r="AZ89" i="19"/>
  <c r="M90" i="18" s="1"/>
  <c r="BB89" i="19"/>
  <c r="BK89" i="19"/>
  <c r="AW89" i="19"/>
  <c r="AX89" i="19"/>
  <c r="K90" i="18" s="1"/>
  <c r="BJ89" i="19"/>
  <c r="BH89" i="19"/>
  <c r="BI89" i="19"/>
  <c r="BG89" i="19"/>
  <c r="R90" i="18" s="1"/>
  <c r="BF89" i="19"/>
  <c r="Q90" i="18" s="1"/>
  <c r="BE89" i="19"/>
  <c r="BD89" i="19"/>
  <c r="P90" i="18" s="1"/>
  <c r="BC89" i="19"/>
  <c r="BA89" i="19"/>
  <c r="N90" i="18" s="1"/>
  <c r="J89" i="18"/>
  <c r="BL88" i="19"/>
  <c r="BM88" i="19" s="1"/>
  <c r="X91" i="19"/>
  <c r="W92" i="19"/>
  <c r="P89" i="18"/>
  <c r="S89" i="18"/>
  <c r="T89" i="18"/>
  <c r="O89" i="18"/>
  <c r="AG90" i="19"/>
  <c r="AU90" i="19"/>
  <c r="AL90" i="19"/>
  <c r="AJ90" i="19"/>
  <c r="AH90" i="19"/>
  <c r="Z91" i="19"/>
  <c r="AQ90" i="19"/>
  <c r="Y91" i="19"/>
  <c r="AT90" i="19"/>
  <c r="AA91" i="19"/>
  <c r="AI90" i="19"/>
  <c r="AR90" i="19"/>
  <c r="AO90" i="19"/>
  <c r="AK90" i="19"/>
  <c r="AN90" i="19"/>
  <c r="AS90" i="19"/>
  <c r="AB91" i="19"/>
  <c r="AP90" i="19"/>
  <c r="AM90" i="19"/>
  <c r="AC91" i="19" l="1"/>
  <c r="AF91" i="19"/>
  <c r="AE91" i="19"/>
  <c r="BC90" i="19"/>
  <c r="AW90" i="19"/>
  <c r="BE90" i="19"/>
  <c r="AZ90" i="19"/>
  <c r="M91" i="18" s="1"/>
  <c r="BF90" i="19"/>
  <c r="Q91" i="18" s="1"/>
  <c r="BG90" i="19"/>
  <c r="R91" i="18" s="1"/>
  <c r="BK90" i="19"/>
  <c r="AY90" i="19"/>
  <c r="L91" i="18" s="1"/>
  <c r="BA90" i="19"/>
  <c r="N91" i="18" s="1"/>
  <c r="BJ90" i="19"/>
  <c r="BB90" i="19"/>
  <c r="BH90" i="19"/>
  <c r="BD90" i="19"/>
  <c r="AX90" i="19"/>
  <c r="K91" i="18" s="1"/>
  <c r="BI90" i="19"/>
  <c r="S90" i="18"/>
  <c r="X92" i="19"/>
  <c r="W93" i="19"/>
  <c r="T90" i="18"/>
  <c r="O90" i="18"/>
  <c r="U88" i="18" s="1"/>
  <c r="BL89" i="19"/>
  <c r="BM89" i="19" s="1"/>
  <c r="J90" i="18"/>
  <c r="AK91" i="19"/>
  <c r="AT91" i="19"/>
  <c r="AB92" i="19"/>
  <c r="AN91" i="19"/>
  <c r="AQ91" i="19"/>
  <c r="AA92" i="19"/>
  <c r="AP91" i="19"/>
  <c r="AG91" i="19"/>
  <c r="AI91" i="19"/>
  <c r="AS91" i="19"/>
  <c r="AJ91" i="19"/>
  <c r="AL91" i="19"/>
  <c r="Y92" i="19"/>
  <c r="AO91" i="19"/>
  <c r="AH91" i="19"/>
  <c r="AM91" i="19"/>
  <c r="Z92" i="19"/>
  <c r="AU91" i="19"/>
  <c r="AR91" i="19"/>
  <c r="S91" i="18" l="1"/>
  <c r="P91" i="18"/>
  <c r="T91" i="18"/>
  <c r="AZ91" i="19"/>
  <c r="M92" i="18" s="1"/>
  <c r="BE91" i="19"/>
  <c r="BJ91" i="19"/>
  <c r="AY91" i="19"/>
  <c r="L92" i="18" s="1"/>
  <c r="BH91" i="19"/>
  <c r="BF91" i="19"/>
  <c r="Q92" i="18" s="1"/>
  <c r="AW91" i="19"/>
  <c r="BG91" i="19"/>
  <c r="R92" i="18" s="1"/>
  <c r="BI91" i="19"/>
  <c r="BD91" i="19"/>
  <c r="BC91" i="19"/>
  <c r="AX91" i="19"/>
  <c r="K92" i="18" s="1"/>
  <c r="BB91" i="19"/>
  <c r="BA91" i="19"/>
  <c r="N92" i="18" s="1"/>
  <c r="BK91" i="19"/>
  <c r="AF92" i="19"/>
  <c r="AC92" i="19"/>
  <c r="AE92" i="19"/>
  <c r="X93" i="19"/>
  <c r="W94" i="19"/>
  <c r="O91" i="18"/>
  <c r="J91" i="18"/>
  <c r="BL90" i="19"/>
  <c r="BM90" i="19" s="1"/>
  <c r="AN92" i="19"/>
  <c r="AL92" i="19"/>
  <c r="AG92" i="19"/>
  <c r="Z93" i="19"/>
  <c r="AQ92" i="19"/>
  <c r="AA93" i="19"/>
  <c r="AO92" i="19"/>
  <c r="AK92" i="19"/>
  <c r="AB93" i="19"/>
  <c r="AM92" i="19"/>
  <c r="AH92" i="19"/>
  <c r="AR92" i="19"/>
  <c r="Y93" i="19"/>
  <c r="AP92" i="19"/>
  <c r="AJ92" i="19"/>
  <c r="AU92" i="19"/>
  <c r="AI92" i="19"/>
  <c r="AS92" i="19"/>
  <c r="AT92" i="19"/>
  <c r="P92" i="18" l="1"/>
  <c r="O92" i="18"/>
  <c r="BE92" i="19"/>
  <c r="BC92" i="19"/>
  <c r="AW92" i="19"/>
  <c r="BG92" i="19"/>
  <c r="R93" i="18" s="1"/>
  <c r="BK92" i="19"/>
  <c r="BJ92" i="19"/>
  <c r="BB92" i="19"/>
  <c r="O93" i="18" s="1"/>
  <c r="BH92" i="19"/>
  <c r="AY92" i="19"/>
  <c r="L93" i="18" s="1"/>
  <c r="BF92" i="19"/>
  <c r="Q93" i="18" s="1"/>
  <c r="BI92" i="19"/>
  <c r="AZ92" i="19"/>
  <c r="M93" i="18" s="1"/>
  <c r="BD92" i="19"/>
  <c r="AX92" i="19"/>
  <c r="K93" i="18" s="1"/>
  <c r="BA92" i="19"/>
  <c r="N93" i="18" s="1"/>
  <c r="AC93" i="19"/>
  <c r="AE93" i="19"/>
  <c r="AF93" i="19"/>
  <c r="J92" i="18"/>
  <c r="BL91" i="19"/>
  <c r="BM91" i="19" s="1"/>
  <c r="T92" i="18"/>
  <c r="X94" i="19"/>
  <c r="W95" i="19"/>
  <c r="S92" i="18"/>
  <c r="AK93" i="19"/>
  <c r="AT93" i="19"/>
  <c r="AB94" i="19"/>
  <c r="AJ93" i="19"/>
  <c r="AQ93" i="19"/>
  <c r="AL93" i="19"/>
  <c r="Z94" i="19"/>
  <c r="AA94" i="19"/>
  <c r="Y94" i="19"/>
  <c r="AU93" i="19"/>
  <c r="AS93" i="19"/>
  <c r="AG93" i="19"/>
  <c r="AH93" i="19"/>
  <c r="AO93" i="19"/>
  <c r="AI93" i="19"/>
  <c r="AR93" i="19"/>
  <c r="AN93" i="19"/>
  <c r="AP93" i="19"/>
  <c r="AM93" i="19"/>
  <c r="P93" i="18" l="1"/>
  <c r="T93" i="18"/>
  <c r="S93" i="18"/>
  <c r="AE94" i="19"/>
  <c r="AC94" i="19"/>
  <c r="AF94" i="19"/>
  <c r="BI93" i="19"/>
  <c r="BB93" i="19"/>
  <c r="AX93" i="19"/>
  <c r="K94" i="18" s="1"/>
  <c r="BD93" i="19"/>
  <c r="BK93" i="19"/>
  <c r="BE93" i="19"/>
  <c r="BH93" i="19"/>
  <c r="BJ93" i="19"/>
  <c r="BC93" i="19"/>
  <c r="AZ93" i="19"/>
  <c r="M94" i="18" s="1"/>
  <c r="AW93" i="19"/>
  <c r="BA93" i="19"/>
  <c r="N94" i="18" s="1"/>
  <c r="BF93" i="19"/>
  <c r="Q94" i="18" s="1"/>
  <c r="AY93" i="19"/>
  <c r="L94" i="18" s="1"/>
  <c r="BG93" i="19"/>
  <c r="R94" i="18" s="1"/>
  <c r="X95" i="19"/>
  <c r="W96" i="19"/>
  <c r="J93" i="18"/>
  <c r="BL92" i="19"/>
  <c r="BM92" i="19" s="1"/>
  <c r="AT94" i="19"/>
  <c r="AL94" i="19"/>
  <c r="AA95" i="19"/>
  <c r="AK94" i="19"/>
  <c r="AB95" i="19"/>
  <c r="AU94" i="19"/>
  <c r="AN94" i="19"/>
  <c r="AS94" i="19"/>
  <c r="AP94" i="19"/>
  <c r="AI94" i="19"/>
  <c r="AJ94" i="19"/>
  <c r="AH94" i="19"/>
  <c r="Z95" i="19"/>
  <c r="AG94" i="19"/>
  <c r="AR94" i="19"/>
  <c r="AQ94" i="19"/>
  <c r="Y95" i="19"/>
  <c r="AM94" i="19"/>
  <c r="AO94" i="19"/>
  <c r="U91" i="18" l="1"/>
  <c r="AE95" i="19"/>
  <c r="AF95" i="19"/>
  <c r="AC95" i="19"/>
  <c r="BK94" i="19"/>
  <c r="BA94" i="19"/>
  <c r="N95" i="18" s="1"/>
  <c r="BC94" i="19"/>
  <c r="BH94" i="19"/>
  <c r="BB94" i="19"/>
  <c r="O95" i="18" s="1"/>
  <c r="AY94" i="19"/>
  <c r="L95" i="18" s="1"/>
  <c r="AW94" i="19"/>
  <c r="BI94" i="19"/>
  <c r="BF94" i="19"/>
  <c r="Q95" i="18" s="1"/>
  <c r="BG94" i="19"/>
  <c r="R95" i="18" s="1"/>
  <c r="BJ94" i="19"/>
  <c r="BD94" i="19"/>
  <c r="BE94" i="19"/>
  <c r="AX94" i="19"/>
  <c r="K95" i="18" s="1"/>
  <c r="AZ94" i="19"/>
  <c r="M95" i="18" s="1"/>
  <c r="W97" i="19"/>
  <c r="X96" i="19"/>
  <c r="T94" i="18"/>
  <c r="P94" i="18"/>
  <c r="J94" i="18"/>
  <c r="BL93" i="19"/>
  <c r="BM93" i="19" s="1"/>
  <c r="S94" i="18"/>
  <c r="O94" i="18"/>
  <c r="AL95" i="19"/>
  <c r="AB96" i="19"/>
  <c r="AN95" i="19"/>
  <c r="AG95" i="19"/>
  <c r="AH95" i="19"/>
  <c r="AR95" i="19"/>
  <c r="AI95" i="19"/>
  <c r="AJ95" i="19"/>
  <c r="AT95" i="19"/>
  <c r="AS95" i="19"/>
  <c r="AA96" i="19"/>
  <c r="AO95" i="19"/>
  <c r="AU95" i="19"/>
  <c r="AK95" i="19"/>
  <c r="AM95" i="19"/>
  <c r="AP95" i="19"/>
  <c r="AQ95" i="19"/>
  <c r="Y96" i="19"/>
  <c r="Z96" i="19"/>
  <c r="BD95" i="19" l="1"/>
  <c r="BJ95" i="19"/>
  <c r="AX95" i="19"/>
  <c r="K96" i="18" s="1"/>
  <c r="BB95" i="19"/>
  <c r="BE95" i="19"/>
  <c r="BG95" i="19"/>
  <c r="R96" i="18" s="1"/>
  <c r="AY95" i="19"/>
  <c r="L96" i="18" s="1"/>
  <c r="AZ95" i="19"/>
  <c r="M96" i="18" s="1"/>
  <c r="BI95" i="19"/>
  <c r="BA95" i="19"/>
  <c r="N96" i="18" s="1"/>
  <c r="AW95" i="19"/>
  <c r="BK95" i="19"/>
  <c r="BH95" i="19"/>
  <c r="BC95" i="19"/>
  <c r="BF95" i="19"/>
  <c r="Q96" i="18" s="1"/>
  <c r="AF96" i="19"/>
  <c r="AC96" i="19"/>
  <c r="AE96" i="19"/>
  <c r="W98" i="19"/>
  <c r="X97" i="19"/>
  <c r="P95" i="18"/>
  <c r="S95" i="18"/>
  <c r="T95" i="18"/>
  <c r="J95" i="18"/>
  <c r="BL94" i="19"/>
  <c r="BM94" i="19" s="1"/>
  <c r="AB97" i="19"/>
  <c r="AJ96" i="19"/>
  <c r="AS96" i="19"/>
  <c r="AU96" i="19"/>
  <c r="AQ96" i="19"/>
  <c r="Z97" i="19"/>
  <c r="AA97" i="19"/>
  <c r="AG96" i="19"/>
  <c r="AO96" i="19"/>
  <c r="AH96" i="19"/>
  <c r="AR96" i="19"/>
  <c r="AK96" i="19"/>
  <c r="AL96" i="19"/>
  <c r="AT96" i="19"/>
  <c r="AI96" i="19"/>
  <c r="AN96" i="19"/>
  <c r="Y97" i="19"/>
  <c r="AP96" i="19"/>
  <c r="AM96" i="19"/>
  <c r="S96" i="18" l="1"/>
  <c r="O96" i="18"/>
  <c r="AW96" i="19"/>
  <c r="AY96" i="19"/>
  <c r="L97" i="18" s="1"/>
  <c r="AX96" i="19"/>
  <c r="K97" i="18" s="1"/>
  <c r="BK96" i="19"/>
  <c r="BC96" i="19"/>
  <c r="BG96" i="19"/>
  <c r="R97" i="18" s="1"/>
  <c r="BA96" i="19"/>
  <c r="N97" i="18" s="1"/>
  <c r="BH96" i="19"/>
  <c r="BJ96" i="19"/>
  <c r="BI96" i="19"/>
  <c r="BF96" i="19"/>
  <c r="Q97" i="18" s="1"/>
  <c r="BB96" i="19"/>
  <c r="AZ96" i="19"/>
  <c r="M97" i="18" s="1"/>
  <c r="BE96" i="19"/>
  <c r="BD96" i="19"/>
  <c r="AC97" i="19"/>
  <c r="AE97" i="19"/>
  <c r="AF97" i="19"/>
  <c r="X98" i="19"/>
  <c r="W99" i="19"/>
  <c r="BL95" i="19"/>
  <c r="BM95" i="19" s="1"/>
  <c r="J96" i="18"/>
  <c r="T96" i="18"/>
  <c r="P96" i="18"/>
  <c r="Y98" i="19"/>
  <c r="AR97" i="19"/>
  <c r="AL97" i="19"/>
  <c r="AG97" i="19"/>
  <c r="AK97" i="19"/>
  <c r="AS97" i="19"/>
  <c r="AB98" i="19"/>
  <c r="AJ97" i="19"/>
  <c r="Z98" i="19"/>
  <c r="AP97" i="19"/>
  <c r="AM97" i="19"/>
  <c r="AQ97" i="19"/>
  <c r="AT97" i="19"/>
  <c r="AA98" i="19"/>
  <c r="AI97" i="19"/>
  <c r="AO97" i="19"/>
  <c r="AU97" i="19"/>
  <c r="AH97" i="19"/>
  <c r="AN97" i="19"/>
  <c r="U94" i="18" l="1"/>
  <c r="O97" i="18"/>
  <c r="P97" i="18"/>
  <c r="S97" i="18"/>
  <c r="AE98" i="19"/>
  <c r="AF98" i="19"/>
  <c r="AC98" i="19"/>
  <c r="AW97" i="19"/>
  <c r="AY97" i="19"/>
  <c r="L98" i="18" s="1"/>
  <c r="BF97" i="19"/>
  <c r="Q98" i="18" s="1"/>
  <c r="BB97" i="19"/>
  <c r="BI97" i="19"/>
  <c r="BE97" i="19"/>
  <c r="BK97" i="19"/>
  <c r="BD97" i="19"/>
  <c r="BG97" i="19"/>
  <c r="R98" i="18" s="1"/>
  <c r="BA97" i="19"/>
  <c r="N98" i="18" s="1"/>
  <c r="AZ97" i="19"/>
  <c r="M98" i="18" s="1"/>
  <c r="BH97" i="19"/>
  <c r="AX97" i="19"/>
  <c r="K98" i="18" s="1"/>
  <c r="BC97" i="19"/>
  <c r="BJ97" i="19"/>
  <c r="T98" i="18" s="1"/>
  <c r="X99" i="19"/>
  <c r="W100" i="19"/>
  <c r="T97" i="18"/>
  <c r="J97" i="18"/>
  <c r="BL96" i="19"/>
  <c r="BM96" i="19" s="1"/>
  <c r="AJ98" i="19"/>
  <c r="Z99" i="19"/>
  <c r="AO98" i="19"/>
  <c r="Y99" i="19"/>
  <c r="AU98" i="19"/>
  <c r="AR98" i="19"/>
  <c r="AK98" i="19"/>
  <c r="AB99" i="19"/>
  <c r="AL98" i="19"/>
  <c r="AN98" i="19"/>
  <c r="AI98" i="19"/>
  <c r="AG98" i="19"/>
  <c r="AM98" i="19"/>
  <c r="AP98" i="19"/>
  <c r="AS98" i="19"/>
  <c r="AH98" i="19"/>
  <c r="AQ98" i="19"/>
  <c r="AA99" i="19"/>
  <c r="AT98" i="19"/>
  <c r="P98" i="18" l="1"/>
  <c r="AE99" i="19"/>
  <c r="AF99" i="19"/>
  <c r="AC99" i="19"/>
  <c r="AX98" i="19"/>
  <c r="K99" i="18" s="1"/>
  <c r="BK98" i="19"/>
  <c r="BJ98" i="19"/>
  <c r="T99" i="18" s="1"/>
  <c r="AZ98" i="19"/>
  <c r="M99" i="18" s="1"/>
  <c r="AW98" i="19"/>
  <c r="BE98" i="19"/>
  <c r="AY98" i="19"/>
  <c r="L99" i="18" s="1"/>
  <c r="BA98" i="19"/>
  <c r="N99" i="18" s="1"/>
  <c r="BB98" i="19"/>
  <c r="BG98" i="19"/>
  <c r="R99" i="18" s="1"/>
  <c r="BH98" i="19"/>
  <c r="BF98" i="19"/>
  <c r="Q99" i="18" s="1"/>
  <c r="BD98" i="19"/>
  <c r="BC98" i="19"/>
  <c r="BI98" i="19"/>
  <c r="BL97" i="19"/>
  <c r="BM97" i="19" s="1"/>
  <c r="J98" i="18"/>
  <c r="S98" i="18"/>
  <c r="O98" i="18"/>
  <c r="X100" i="19"/>
  <c r="W101" i="19"/>
  <c r="X101" i="19" s="1"/>
  <c r="AQ99" i="19"/>
  <c r="AB101" i="19"/>
  <c r="Y101" i="19"/>
  <c r="AI99" i="19"/>
  <c r="AJ99" i="19"/>
  <c r="AK99" i="19"/>
  <c r="Z101" i="19"/>
  <c r="AO99" i="19"/>
  <c r="AT99" i="19"/>
  <c r="AR99" i="19"/>
  <c r="AM99" i="19"/>
  <c r="AB100" i="19"/>
  <c r="AS99" i="19"/>
  <c r="Y100" i="19"/>
  <c r="AL99" i="19"/>
  <c r="AH99" i="19"/>
  <c r="Z100" i="19"/>
  <c r="AA101" i="19"/>
  <c r="AU99" i="19"/>
  <c r="AP99" i="19"/>
  <c r="AN99" i="19"/>
  <c r="AA100" i="19"/>
  <c r="AG99" i="19"/>
  <c r="P99" i="18" l="1"/>
  <c r="O99" i="18"/>
  <c r="AC100" i="19"/>
  <c r="AE100" i="19"/>
  <c r="AF100" i="19"/>
  <c r="BI99" i="19"/>
  <c r="BJ99" i="19"/>
  <c r="BG99" i="19"/>
  <c r="R100" i="18" s="1"/>
  <c r="BC99" i="19"/>
  <c r="BF99" i="19"/>
  <c r="Q100" i="18" s="1"/>
  <c r="BE99" i="19"/>
  <c r="BB99" i="19"/>
  <c r="AW99" i="19"/>
  <c r="BH99" i="19"/>
  <c r="AZ99" i="19"/>
  <c r="M100" i="18" s="1"/>
  <c r="AX99" i="19"/>
  <c r="K100" i="18" s="1"/>
  <c r="BK99" i="19"/>
  <c r="BA99" i="19"/>
  <c r="N100" i="18" s="1"/>
  <c r="AY99" i="19"/>
  <c r="L100" i="18" s="1"/>
  <c r="BD99" i="19"/>
  <c r="AE101" i="19"/>
  <c r="AF101" i="19"/>
  <c r="AC101" i="19"/>
  <c r="BL98" i="19"/>
  <c r="BM98" i="19" s="1"/>
  <c r="J99" i="18"/>
  <c r="S99" i="18"/>
  <c r="AN101" i="19"/>
  <c r="AJ100" i="19"/>
  <c r="AL101" i="19"/>
  <c r="AI101" i="19"/>
  <c r="AG100" i="19"/>
  <c r="AU100" i="19"/>
  <c r="AI100" i="19"/>
  <c r="AR101" i="19"/>
  <c r="AT101" i="19"/>
  <c r="AU101" i="19"/>
  <c r="AM101" i="19"/>
  <c r="AQ100" i="19"/>
  <c r="AG101" i="19"/>
  <c r="AN100" i="19"/>
  <c r="AO100" i="19"/>
  <c r="AK100" i="19"/>
  <c r="AH100" i="19"/>
  <c r="AP101" i="19"/>
  <c r="AK101" i="19"/>
  <c r="AP100" i="19"/>
  <c r="AJ101" i="19"/>
  <c r="AS100" i="19"/>
  <c r="AO101" i="19"/>
  <c r="AM100" i="19"/>
  <c r="AL100" i="19"/>
  <c r="AR100" i="19"/>
  <c r="AH101" i="19"/>
  <c r="AQ101" i="19"/>
  <c r="AT100" i="19"/>
  <c r="AS101" i="19"/>
  <c r="U97" i="18" l="1"/>
  <c r="P100" i="18"/>
  <c r="S100" i="18"/>
  <c r="O100" i="18"/>
  <c r="AZ101" i="19"/>
  <c r="M102" i="18" s="1"/>
  <c r="BE101" i="19"/>
  <c r="BH101" i="19"/>
  <c r="BK101" i="19"/>
  <c r="BB101" i="19"/>
  <c r="BJ101" i="19"/>
  <c r="BG101" i="19"/>
  <c r="R102" i="18" s="1"/>
  <c r="AW101" i="19"/>
  <c r="AX101" i="19"/>
  <c r="K102" i="18" s="1"/>
  <c r="AY101" i="19"/>
  <c r="L102" i="18" s="1"/>
  <c r="BI101" i="19"/>
  <c r="BD101" i="19"/>
  <c r="BF101" i="19"/>
  <c r="Q102" i="18" s="1"/>
  <c r="BA101" i="19"/>
  <c r="N102" i="18" s="1"/>
  <c r="BC101" i="19"/>
  <c r="BK100" i="19"/>
  <c r="AY100" i="19"/>
  <c r="L101" i="18" s="1"/>
  <c r="L103" i="18" s="1"/>
  <c r="AZ100" i="19"/>
  <c r="M101" i="18" s="1"/>
  <c r="M103" i="18" s="1"/>
  <c r="K107" i="18" s="1"/>
  <c r="BD100" i="19"/>
  <c r="BG100" i="19"/>
  <c r="R101" i="18" s="1"/>
  <c r="BJ100" i="19"/>
  <c r="BH100" i="19"/>
  <c r="BA100" i="19"/>
  <c r="N101" i="18" s="1"/>
  <c r="BF100" i="19"/>
  <c r="Q101" i="18" s="1"/>
  <c r="Q103" i="18" s="1"/>
  <c r="M107" i="18" s="1"/>
  <c r="BB100" i="19"/>
  <c r="BI100" i="19"/>
  <c r="AW100" i="19"/>
  <c r="AX100" i="19"/>
  <c r="K101" i="18" s="1"/>
  <c r="K103" i="18" s="1"/>
  <c r="J107" i="18" s="1"/>
  <c r="BE100" i="19"/>
  <c r="BC100" i="19"/>
  <c r="N103" i="18"/>
  <c r="BL99" i="19"/>
  <c r="BM99" i="19" s="1"/>
  <c r="J100" i="18"/>
  <c r="T100" i="18"/>
  <c r="R103" i="18" l="1"/>
  <c r="P102" i="18"/>
  <c r="T101" i="18"/>
  <c r="BL101" i="19"/>
  <c r="BM101" i="19" s="1"/>
  <c r="J102" i="18"/>
  <c r="J101" i="18"/>
  <c r="BL100" i="19"/>
  <c r="BM100" i="19" s="1"/>
  <c r="P101" i="18"/>
  <c r="P103" i="18" s="1"/>
  <c r="S107" i="18" s="1"/>
  <c r="S102" i="18"/>
  <c r="S101" i="18"/>
  <c r="T102" i="18"/>
  <c r="T103" i="18" s="1"/>
  <c r="U107" i="18" s="1"/>
  <c r="O101" i="18"/>
  <c r="T107" i="18"/>
  <c r="O102" i="18"/>
  <c r="O103" i="18" l="1"/>
  <c r="L107" i="18" s="1"/>
  <c r="S103" i="18"/>
  <c r="N107" i="18" s="1"/>
  <c r="J103" i="18"/>
  <c r="I107" i="18" s="1"/>
  <c r="U100" i="18"/>
  <c r="U103" i="18" s="1"/>
  <c r="X107" i="18"/>
  <c r="O107" i="18"/>
</calcChain>
</file>

<file path=xl/sharedStrings.xml><?xml version="1.0" encoding="utf-8"?>
<sst xmlns="http://schemas.openxmlformats.org/spreadsheetml/2006/main" count="1049" uniqueCount="209">
  <si>
    <r>
      <t>勤務時間入力は、20時15分の場合＝　</t>
    </r>
    <r>
      <rPr>
        <b/>
        <sz val="11"/>
        <color indexed="10"/>
        <rFont val="ＭＳ Ｐゴシック"/>
        <family val="3"/>
        <charset val="128"/>
      </rPr>
      <t>20:15　</t>
    </r>
    <r>
      <rPr>
        <sz val="11"/>
        <color indexed="10"/>
        <rFont val="ＭＳ Ｐゴシック"/>
        <family val="3"/>
        <charset val="128"/>
      </rPr>
      <t>と入力</t>
    </r>
    <rPh sb="0" eb="2">
      <t>キンム</t>
    </rPh>
    <rPh sb="2" eb="4">
      <t>ジカン</t>
    </rPh>
    <rPh sb="4" eb="6">
      <t>ニュウリョク</t>
    </rPh>
    <rPh sb="10" eb="11">
      <t>ジ</t>
    </rPh>
    <rPh sb="13" eb="14">
      <t>フン</t>
    </rPh>
    <rPh sb="15" eb="17">
      <t>バアイ</t>
    </rPh>
    <rPh sb="26" eb="28">
      <t>ニュウリョク</t>
    </rPh>
    <phoneticPr fontId="2"/>
  </si>
  <si>
    <t>最初に、&lt;一覧表&gt;に必要項目を入力して下さい。</t>
    <rPh sb="0" eb="2">
      <t>サイショ</t>
    </rPh>
    <rPh sb="5" eb="8">
      <t>イチランヒョウ</t>
    </rPh>
    <rPh sb="10" eb="12">
      <t>ヒツヨウ</t>
    </rPh>
    <rPh sb="12" eb="14">
      <t>コウモク</t>
    </rPh>
    <rPh sb="15" eb="17">
      <t>ニュウリョク</t>
    </rPh>
    <rPh sb="19" eb="20">
      <t>クダ</t>
    </rPh>
    <phoneticPr fontId="2"/>
  </si>
  <si>
    <t>　　超過勤務開始時間が通常時(17:45ｏｒ18:00)と異なる場合のみ開始時間を入力。</t>
    <rPh sb="2" eb="4">
      <t>チョウカ</t>
    </rPh>
    <rPh sb="4" eb="6">
      <t>キンム</t>
    </rPh>
    <rPh sb="6" eb="8">
      <t>カイシ</t>
    </rPh>
    <rPh sb="8" eb="10">
      <t>ジカン</t>
    </rPh>
    <rPh sb="11" eb="14">
      <t>ツウジョウジ</t>
    </rPh>
    <rPh sb="29" eb="30">
      <t>コト</t>
    </rPh>
    <rPh sb="32" eb="34">
      <t>バアイ</t>
    </rPh>
    <rPh sb="36" eb="38">
      <t>カイシ</t>
    </rPh>
    <rPh sb="38" eb="40">
      <t>ジカン</t>
    </rPh>
    <rPh sb="41" eb="43">
      <t>ニュウリョク</t>
    </rPh>
    <phoneticPr fontId="2"/>
  </si>
  <si>
    <t>　　土日は開始時間、終了時間とも入力、休日勤務の加算率が表示されます。</t>
    <rPh sb="2" eb="4">
      <t>ドニチ</t>
    </rPh>
    <rPh sb="5" eb="7">
      <t>カイシ</t>
    </rPh>
    <rPh sb="7" eb="9">
      <t>ジカン</t>
    </rPh>
    <rPh sb="10" eb="12">
      <t>シュウリョウ</t>
    </rPh>
    <rPh sb="12" eb="14">
      <t>ジカン</t>
    </rPh>
    <rPh sb="16" eb="18">
      <t>ニュウリョク</t>
    </rPh>
    <rPh sb="19" eb="21">
      <t>キュウジツ</t>
    </rPh>
    <rPh sb="21" eb="23">
      <t>キンム</t>
    </rPh>
    <rPh sb="24" eb="27">
      <t>カサンリツ</t>
    </rPh>
    <rPh sb="28" eb="30">
      <t>ヒョウジ</t>
    </rPh>
    <phoneticPr fontId="2"/>
  </si>
  <si>
    <t>２　係員ごとにＡＢ勤務を設定して下さい。</t>
    <rPh sb="2" eb="4">
      <t>カカリイン</t>
    </rPh>
    <rPh sb="9" eb="11">
      <t>キンム</t>
    </rPh>
    <rPh sb="12" eb="14">
      <t>セッテイ</t>
    </rPh>
    <rPh sb="16" eb="17">
      <t>クダ</t>
    </rPh>
    <phoneticPr fontId="2"/>
  </si>
  <si>
    <t>直接監督責任者の印</t>
    <rPh sb="0" eb="2">
      <t>チョクセツ</t>
    </rPh>
    <rPh sb="2" eb="4">
      <t>カントク</t>
    </rPh>
    <rPh sb="4" eb="7">
      <t>セキニンシャ</t>
    </rPh>
    <rPh sb="8" eb="9">
      <t>イン</t>
    </rPh>
    <phoneticPr fontId="2"/>
  </si>
  <si>
    <r>
      <t>１　一覧表において、</t>
    </r>
    <r>
      <rPr>
        <sz val="11"/>
        <color indexed="8"/>
        <rFont val="ＭＳ Ｐゴシック"/>
        <family val="3"/>
        <charset val="128"/>
      </rPr>
      <t>課名と係員名</t>
    </r>
    <r>
      <rPr>
        <sz val="11"/>
        <rFont val="ＭＳ Ｐゴシック"/>
        <family val="3"/>
        <charset val="128"/>
      </rPr>
      <t>を入力して下さい。</t>
    </r>
    <rPh sb="2" eb="5">
      <t>イチランヒョウ</t>
    </rPh>
    <rPh sb="10" eb="11">
      <t>カ</t>
    </rPh>
    <rPh sb="11" eb="12">
      <t>ナ</t>
    </rPh>
    <rPh sb="13" eb="15">
      <t>カカリイン</t>
    </rPh>
    <rPh sb="15" eb="16">
      <t>シメイ</t>
    </rPh>
    <rPh sb="17" eb="19">
      <t>ニュウリョク</t>
    </rPh>
    <rPh sb="21" eb="22">
      <t>クダ</t>
    </rPh>
    <phoneticPr fontId="2"/>
  </si>
  <si>
    <r>
      <t>　　&lt;一覧表&gt;の入力は、以上</t>
    </r>
    <r>
      <rPr>
        <sz val="11"/>
        <color indexed="10"/>
        <rFont val="ＭＳ Ｐゴシック"/>
        <family val="3"/>
        <charset val="128"/>
      </rPr>
      <t>カラー</t>
    </r>
    <r>
      <rPr>
        <sz val="11"/>
        <rFont val="ＭＳ Ｐゴシック"/>
        <family val="3"/>
        <charset val="128"/>
      </rPr>
      <t>の部分のみ入力で完了です。</t>
    </r>
    <rPh sb="3" eb="6">
      <t>イチランヒョウ</t>
    </rPh>
    <rPh sb="8" eb="10">
      <t>ニュウリョク</t>
    </rPh>
    <rPh sb="12" eb="14">
      <t>イジョウ</t>
    </rPh>
    <rPh sb="18" eb="20">
      <t>ブブン</t>
    </rPh>
    <rPh sb="22" eb="24">
      <t>ニュウリョク</t>
    </rPh>
    <rPh sb="25" eb="27">
      <t>カンリョウ</t>
    </rPh>
    <phoneticPr fontId="2"/>
  </si>
  <si>
    <r>
      <t>５　125/100以外（休日or22時以降）の勤務の場合は、その</t>
    </r>
    <r>
      <rPr>
        <b/>
        <sz val="11"/>
        <color indexed="10"/>
        <rFont val="ＭＳ Ｐゴシック"/>
        <family val="3"/>
        <charset val="128"/>
      </rPr>
      <t>理由を命令簿に記入</t>
    </r>
    <r>
      <rPr>
        <sz val="11"/>
        <rFont val="ＭＳ Ｐゴシック"/>
        <family val="3"/>
        <charset val="128"/>
      </rPr>
      <t>。</t>
    </r>
    <rPh sb="9" eb="11">
      <t>イガイ</t>
    </rPh>
    <rPh sb="12" eb="14">
      <t>キュウジツ</t>
    </rPh>
    <rPh sb="18" eb="19">
      <t>ジ</t>
    </rPh>
    <rPh sb="19" eb="21">
      <t>イコウ</t>
    </rPh>
    <rPh sb="23" eb="25">
      <t>キンム</t>
    </rPh>
    <rPh sb="26" eb="28">
      <t>バアイ</t>
    </rPh>
    <rPh sb="32" eb="34">
      <t>リユウ</t>
    </rPh>
    <rPh sb="35" eb="37">
      <t>メイレイ</t>
    </rPh>
    <rPh sb="37" eb="38">
      <t>ボ</t>
    </rPh>
    <rPh sb="39" eb="41">
      <t>キニュウ</t>
    </rPh>
    <phoneticPr fontId="2"/>
  </si>
  <si>
    <t>一覧表は、下のﾜｰｸｼｰﾄ名&lt;一覧表&gt;をクリックすると表示されます。</t>
    <rPh sb="0" eb="3">
      <t>イチランヒョウ</t>
    </rPh>
    <rPh sb="5" eb="6">
      <t>シタ</t>
    </rPh>
    <rPh sb="13" eb="14">
      <t>ナ</t>
    </rPh>
    <rPh sb="15" eb="18">
      <t>イチランヒョウ</t>
    </rPh>
    <rPh sb="27" eb="29">
      <t>ヒョウジ</t>
    </rPh>
    <phoneticPr fontId="2"/>
  </si>
  <si>
    <r>
      <t>次に、各係員ごとに勤務時間を入力してください</t>
    </r>
    <r>
      <rPr>
        <b/>
        <sz val="11"/>
        <color indexed="8"/>
        <rFont val="ＭＳ Ｐゴシック"/>
        <family val="3"/>
        <charset val="128"/>
      </rPr>
      <t>。</t>
    </r>
    <r>
      <rPr>
        <b/>
        <sz val="11"/>
        <color indexed="10"/>
        <rFont val="ＭＳ Ｐゴシック"/>
        <family val="3"/>
        <charset val="128"/>
      </rPr>
      <t>(入力日ごとに上書き保存）</t>
    </r>
    <rPh sb="0" eb="1">
      <t>ツギ</t>
    </rPh>
    <rPh sb="3" eb="4">
      <t>カク</t>
    </rPh>
    <rPh sb="4" eb="6">
      <t>カカリイン</t>
    </rPh>
    <rPh sb="9" eb="11">
      <t>キンム</t>
    </rPh>
    <rPh sb="11" eb="13">
      <t>ジカン</t>
    </rPh>
    <rPh sb="14" eb="16">
      <t>ニュウリョク</t>
    </rPh>
    <rPh sb="24" eb="26">
      <t>ニュウリョク</t>
    </rPh>
    <rPh sb="26" eb="27">
      <t>ビ</t>
    </rPh>
    <rPh sb="30" eb="32">
      <t>ウワガ</t>
    </rPh>
    <rPh sb="33" eb="35">
      <t>ホゾン</t>
    </rPh>
    <phoneticPr fontId="2"/>
  </si>
  <si>
    <r>
      <t>４　入力は、係員１～係員３の「実績勤務時間」の</t>
    </r>
    <r>
      <rPr>
        <b/>
        <sz val="11"/>
        <color indexed="10"/>
        <rFont val="ＭＳ Ｐゴシック"/>
        <family val="3"/>
        <charset val="128"/>
      </rPr>
      <t>終了時間のみ入力</t>
    </r>
    <r>
      <rPr>
        <b/>
        <sz val="11"/>
        <rFont val="ＭＳ Ｐゴシック"/>
        <family val="3"/>
        <charset val="128"/>
      </rPr>
      <t>。</t>
    </r>
    <rPh sb="2" eb="4">
      <t>ニュウリョク</t>
    </rPh>
    <rPh sb="6" eb="8">
      <t>カカリイン</t>
    </rPh>
    <rPh sb="10" eb="12">
      <t>カカリイン</t>
    </rPh>
    <rPh sb="15" eb="17">
      <t>ジッセキ</t>
    </rPh>
    <rPh sb="17" eb="19">
      <t>キンム</t>
    </rPh>
    <rPh sb="19" eb="21">
      <t>ジカン</t>
    </rPh>
    <rPh sb="23" eb="25">
      <t>シュウリョウ</t>
    </rPh>
    <rPh sb="25" eb="27">
      <t>ジカン</t>
    </rPh>
    <rPh sb="29" eb="31">
      <t>ニュウリョク</t>
    </rPh>
    <phoneticPr fontId="2"/>
  </si>
  <si>
    <t xml:space="preserve"> 　　　 ＡＢ勤務は、　　　　　  にカーソルを移動するとボタン▼が表示されますので</t>
    <rPh sb="7" eb="9">
      <t>キンム</t>
    </rPh>
    <rPh sb="24" eb="26">
      <t>イドウ</t>
    </rPh>
    <rPh sb="34" eb="36">
      <t>ヒョウジ</t>
    </rPh>
    <phoneticPr fontId="2"/>
  </si>
  <si>
    <t xml:space="preserve">  　　　Ａ勤かＢ勤を選択して下さい。</t>
    <rPh sb="6" eb="7">
      <t>キンム</t>
    </rPh>
    <rPh sb="9" eb="10">
      <t>キンム</t>
    </rPh>
    <rPh sb="11" eb="13">
      <t>センタク</t>
    </rPh>
    <rPh sb="15" eb="16">
      <t>クダ</t>
    </rPh>
    <phoneticPr fontId="2"/>
  </si>
  <si>
    <t>従事者届出時間</t>
    <rPh sb="0" eb="3">
      <t>ジュウジシャ</t>
    </rPh>
    <rPh sb="3" eb="4">
      <t>トド</t>
    </rPh>
    <rPh sb="4" eb="5">
      <t>デ</t>
    </rPh>
    <rPh sb="5" eb="7">
      <t>ジカン</t>
    </rPh>
    <phoneticPr fontId="2"/>
  </si>
  <si>
    <t>直接監督者命令時間</t>
    <rPh sb="0" eb="2">
      <t>チョクセツ</t>
    </rPh>
    <rPh sb="2" eb="5">
      <t>カントクシャ</t>
    </rPh>
    <rPh sb="5" eb="7">
      <t>メイレイ</t>
    </rPh>
    <rPh sb="7" eb="9">
      <t>ジカン</t>
    </rPh>
    <phoneticPr fontId="2"/>
  </si>
  <si>
    <t>超　過　勤　務　命　令　補　助　簿</t>
    <rPh sb="0" eb="3">
      <t>チョウカ</t>
    </rPh>
    <rPh sb="4" eb="7">
      <t>キンム</t>
    </rPh>
    <rPh sb="8" eb="11">
      <t>メイレイ</t>
    </rPh>
    <rPh sb="12" eb="13">
      <t>タスク</t>
    </rPh>
    <rPh sb="14" eb="15">
      <t>スケ</t>
    </rPh>
    <rPh sb="16" eb="17">
      <t>ボ</t>
    </rPh>
    <phoneticPr fontId="2"/>
  </si>
  <si>
    <t>業務内容</t>
    <rPh sb="0" eb="2">
      <t>ギョウム</t>
    </rPh>
    <rPh sb="2" eb="4">
      <t>ナイヨウ</t>
    </rPh>
    <phoneticPr fontId="2"/>
  </si>
  <si>
    <t>雇用形態</t>
    <rPh sb="0" eb="2">
      <t>コヨウ</t>
    </rPh>
    <rPh sb="2" eb="4">
      <t>ケイタイ</t>
    </rPh>
    <phoneticPr fontId="2"/>
  </si>
  <si>
    <t>年</t>
    <rPh sb="0" eb="1">
      <t>ネン</t>
    </rPh>
    <phoneticPr fontId="2"/>
  </si>
  <si>
    <t>うち休憩時間等</t>
    <rPh sb="2" eb="4">
      <t>キュウケイ</t>
    </rPh>
    <rPh sb="4" eb="6">
      <t>ジカン</t>
    </rPh>
    <rPh sb="6" eb="7">
      <t>トウ</t>
    </rPh>
    <phoneticPr fontId="2"/>
  </si>
  <si>
    <t>月</t>
    <rPh sb="0" eb="1">
      <t>ツキ</t>
    </rPh>
    <phoneticPr fontId="2"/>
  </si>
  <si>
    <t>実勤務
時間</t>
    <rPh sb="0" eb="1">
      <t>ジツ</t>
    </rPh>
    <rPh sb="1" eb="3">
      <t>キンム</t>
    </rPh>
    <phoneticPr fontId="2"/>
  </si>
  <si>
    <t>勤務形態</t>
    <rPh sb="0" eb="2">
      <t>キンム</t>
    </rPh>
    <rPh sb="2" eb="4">
      <t>ケイタイ</t>
    </rPh>
    <phoneticPr fontId="2"/>
  </si>
  <si>
    <t>正規職員</t>
    <rPh sb="0" eb="2">
      <t>セイキ</t>
    </rPh>
    <rPh sb="2" eb="4">
      <t>ショクイン</t>
    </rPh>
    <phoneticPr fontId="2"/>
  </si>
  <si>
    <t>臨時的任用職員</t>
    <rPh sb="0" eb="3">
      <t>リンジテキ</t>
    </rPh>
    <rPh sb="3" eb="5">
      <t>ニンヨウ</t>
    </rPh>
    <rPh sb="5" eb="7">
      <t>ショクイン</t>
    </rPh>
    <phoneticPr fontId="2"/>
  </si>
  <si>
    <t>日々雇用職員</t>
    <rPh sb="0" eb="2">
      <t>ヒビ</t>
    </rPh>
    <rPh sb="2" eb="4">
      <t>コヨウ</t>
    </rPh>
    <rPh sb="4" eb="6">
      <t>ショクイン</t>
    </rPh>
    <phoneticPr fontId="2"/>
  </si>
  <si>
    <t>雇用形態：</t>
    <rPh sb="0" eb="2">
      <t>コヨウ</t>
    </rPh>
    <rPh sb="2" eb="4">
      <t>ケイタイ</t>
    </rPh>
    <phoneticPr fontId="2"/>
  </si>
  <si>
    <t>職員コード：</t>
    <rPh sb="0" eb="2">
      <t>ショクイン</t>
    </rPh>
    <phoneticPr fontId="2"/>
  </si>
  <si>
    <t>氏名：</t>
    <rPh sb="0" eb="2">
      <t>シメイ</t>
    </rPh>
    <phoneticPr fontId="2"/>
  </si>
  <si>
    <t>職種：</t>
    <rPh sb="0" eb="2">
      <t>ショクシュ</t>
    </rPh>
    <phoneticPr fontId="2"/>
  </si>
  <si>
    <t>所属　：</t>
    <rPh sb="0" eb="2">
      <t>ショゾク</t>
    </rPh>
    <phoneticPr fontId="2"/>
  </si>
  <si>
    <t>勤務時間</t>
    <rPh sb="0" eb="2">
      <t>キンム</t>
    </rPh>
    <rPh sb="2" eb="4">
      <t>ジカン</t>
    </rPh>
    <phoneticPr fontId="2"/>
  </si>
  <si>
    <t>日</t>
    <rPh sb="0" eb="1">
      <t>ヒ</t>
    </rPh>
    <phoneticPr fontId="2"/>
  </si>
  <si>
    <t>25/100の部分</t>
    <rPh sb="7" eb="9">
      <t>ブブン</t>
    </rPh>
    <phoneticPr fontId="2"/>
  </si>
  <si>
    <t>100/100の部分</t>
    <phoneticPr fontId="2"/>
  </si>
  <si>
    <t>125/100の部分</t>
    <phoneticPr fontId="2"/>
  </si>
  <si>
    <t>150/100の部分</t>
    <phoneticPr fontId="2"/>
  </si>
  <si>
    <t>累計</t>
    <rPh sb="0" eb="2">
      <t>ルイケイ</t>
    </rPh>
    <phoneticPr fontId="2"/>
  </si>
  <si>
    <t>+50(150)</t>
    <phoneticPr fontId="2"/>
  </si>
  <si>
    <t>+25(150)</t>
    <phoneticPr fontId="2"/>
  </si>
  <si>
    <t>+25(175)</t>
    <phoneticPr fontId="2"/>
  </si>
  <si>
    <t>+15(150)</t>
    <phoneticPr fontId="2"/>
  </si>
  <si>
    <t>+15(175)</t>
    <phoneticPr fontId="2"/>
  </si>
  <si>
    <t>小計</t>
    <rPh sb="0" eb="1">
      <t>ショウ</t>
    </rPh>
    <rPh sb="1" eb="2">
      <t>ケイ</t>
    </rPh>
    <phoneticPr fontId="2"/>
  </si>
  <si>
    <t>支給率毎の
超過勤務時間数</t>
    <rPh sb="0" eb="2">
      <t>シキュウ</t>
    </rPh>
    <rPh sb="2" eb="3">
      <t>リツ</t>
    </rPh>
    <rPh sb="3" eb="4">
      <t>マイ</t>
    </rPh>
    <rPh sb="6" eb="8">
      <t>チョウカ</t>
    </rPh>
    <rPh sb="8" eb="10">
      <t>キンム</t>
    </rPh>
    <rPh sb="10" eb="13">
      <t>ジカンスウ</t>
    </rPh>
    <phoneticPr fontId="2"/>
  </si>
  <si>
    <t>25/100</t>
    <phoneticPr fontId="2"/>
  </si>
  <si>
    <t>100/100</t>
    <phoneticPr fontId="2"/>
  </si>
  <si>
    <t>125/100</t>
    <phoneticPr fontId="2"/>
  </si>
  <si>
    <t>135/100</t>
    <phoneticPr fontId="2"/>
  </si>
  <si>
    <t>160/100</t>
    <phoneticPr fontId="2"/>
  </si>
  <si>
    <t>引き上げ率毎の
月60時間を超える
超過勤務時間数</t>
    <rPh sb="0" eb="1">
      <t>ヒ</t>
    </rPh>
    <rPh sb="2" eb="3">
      <t>ア</t>
    </rPh>
    <rPh sb="4" eb="5">
      <t>リツ</t>
    </rPh>
    <rPh sb="5" eb="6">
      <t>マイ</t>
    </rPh>
    <rPh sb="8" eb="9">
      <t>ツキ</t>
    </rPh>
    <rPh sb="11" eb="13">
      <t>ジカン</t>
    </rPh>
    <rPh sb="14" eb="15">
      <t>コ</t>
    </rPh>
    <rPh sb="18" eb="20">
      <t>チョウカ</t>
    </rPh>
    <rPh sb="20" eb="22">
      <t>キンム</t>
    </rPh>
    <rPh sb="22" eb="24">
      <t>ジカン</t>
    </rPh>
    <rPh sb="24" eb="25">
      <t>カズ</t>
    </rPh>
    <phoneticPr fontId="2"/>
  </si>
  <si>
    <t>+50/100</t>
    <phoneticPr fontId="2"/>
  </si>
  <si>
    <t>+25/100</t>
    <phoneticPr fontId="2"/>
  </si>
  <si>
    <t>+15/100</t>
    <phoneticPr fontId="2"/>
  </si>
  <si>
    <t>超勤代休時間取得可能時間</t>
    <rPh sb="0" eb="2">
      <t>チョウキン</t>
    </rPh>
    <rPh sb="2" eb="4">
      <t>ダイキュウ</t>
    </rPh>
    <rPh sb="4" eb="6">
      <t>ジカン</t>
    </rPh>
    <rPh sb="6" eb="8">
      <t>シュトク</t>
    </rPh>
    <rPh sb="8" eb="10">
      <t>カノウ</t>
    </rPh>
    <rPh sb="10" eb="12">
      <t>ジカン</t>
    </rPh>
    <phoneticPr fontId="2"/>
  </si>
  <si>
    <t>勤務日</t>
    <rPh sb="0" eb="3">
      <t>キンムビ</t>
    </rPh>
    <phoneticPr fontId="2"/>
  </si>
  <si>
    <t>明細連番</t>
    <rPh sb="0" eb="2">
      <t>メイサイ</t>
    </rPh>
    <rPh sb="2" eb="4">
      <t>レンバン</t>
    </rPh>
    <phoneticPr fontId="2"/>
  </si>
  <si>
    <t>勤務開始１</t>
    <rPh sb="0" eb="2">
      <t>キンム</t>
    </rPh>
    <rPh sb="2" eb="4">
      <t>カイシ</t>
    </rPh>
    <phoneticPr fontId="2"/>
  </si>
  <si>
    <t>勤務終了１</t>
    <rPh sb="0" eb="2">
      <t>キンム</t>
    </rPh>
    <rPh sb="2" eb="4">
      <t>シュウリョウ</t>
    </rPh>
    <phoneticPr fontId="2"/>
  </si>
  <si>
    <t>勤務開始２</t>
    <rPh sb="0" eb="2">
      <t>キンム</t>
    </rPh>
    <rPh sb="2" eb="4">
      <t>カイシ</t>
    </rPh>
    <phoneticPr fontId="2"/>
  </si>
  <si>
    <t>勤務終了２</t>
    <rPh sb="0" eb="2">
      <t>キンム</t>
    </rPh>
    <rPh sb="2" eb="4">
      <t>シュウリョウ</t>
    </rPh>
    <phoneticPr fontId="2"/>
  </si>
  <si>
    <t>月間超過
勤務累計</t>
    <rPh sb="0" eb="2">
      <t>ゲッカン</t>
    </rPh>
    <rPh sb="2" eb="4">
      <t>チョウカ</t>
    </rPh>
    <rPh sb="5" eb="7">
      <t>キンム</t>
    </rPh>
    <rPh sb="7" eb="9">
      <t>ルイケイ</t>
    </rPh>
    <phoneticPr fontId="2"/>
  </si>
  <si>
    <t>６０時間を超えた分の時間</t>
    <rPh sb="2" eb="4">
      <t>ジカン</t>
    </rPh>
    <rPh sb="5" eb="6">
      <t>コ</t>
    </rPh>
    <rPh sb="8" eb="9">
      <t>ブン</t>
    </rPh>
    <rPh sb="10" eb="12">
      <t>ジカン</t>
    </rPh>
    <phoneticPr fontId="2"/>
  </si>
  <si>
    <t>From</t>
    <phoneticPr fontId="2"/>
  </si>
  <si>
    <t>To</t>
    <phoneticPr fontId="2"/>
  </si>
  <si>
    <t>当日の超過
勤務時間</t>
    <rPh sb="0" eb="2">
      <t>トウジツ</t>
    </rPh>
    <rPh sb="3" eb="5">
      <t>チョウカ</t>
    </rPh>
    <rPh sb="6" eb="8">
      <t>キンム</t>
    </rPh>
    <rPh sb="8" eb="10">
      <t>ジカン</t>
    </rPh>
    <phoneticPr fontId="2"/>
  </si>
  <si>
    <t>22:00～24:00</t>
    <phoneticPr fontId="2"/>
  </si>
  <si>
    <t>5:00～22:00</t>
    <phoneticPr fontId="2"/>
  </si>
  <si>
    <t>超過勤務時間の内、６０時間を超えている部分の時間</t>
    <rPh sb="0" eb="2">
      <t>チョウカ</t>
    </rPh>
    <rPh sb="2" eb="4">
      <t>キンム</t>
    </rPh>
    <rPh sb="4" eb="6">
      <t>ジカン</t>
    </rPh>
    <rPh sb="7" eb="8">
      <t>ウチ</t>
    </rPh>
    <phoneticPr fontId="2"/>
  </si>
  <si>
    <t>超過勤務時間
（６０時間超過の考慮前）</t>
    <rPh sb="0" eb="2">
      <t>チョウカ</t>
    </rPh>
    <rPh sb="2" eb="4">
      <t>キンム</t>
    </rPh>
    <rPh sb="4" eb="6">
      <t>ジカン</t>
    </rPh>
    <rPh sb="10" eb="12">
      <t>ジカン</t>
    </rPh>
    <rPh sb="12" eb="14">
      <t>チョウカ</t>
    </rPh>
    <rPh sb="15" eb="17">
      <t>コウリョ</t>
    </rPh>
    <rPh sb="17" eb="18">
      <t>マエ</t>
    </rPh>
    <phoneticPr fontId="2"/>
  </si>
  <si>
    <t>育児短時間勤務？</t>
    <rPh sb="0" eb="2">
      <t>イクジ</t>
    </rPh>
    <rPh sb="2" eb="5">
      <t>タンジカン</t>
    </rPh>
    <rPh sb="5" eb="7">
      <t>キンム</t>
    </rPh>
    <phoneticPr fontId="2"/>
  </si>
  <si>
    <t>振替勤務日？</t>
    <rPh sb="0" eb="2">
      <t>フリカエ</t>
    </rPh>
    <rPh sb="2" eb="5">
      <t>キンムビ</t>
    </rPh>
    <phoneticPr fontId="2"/>
  </si>
  <si>
    <t>当日は
通常勤務？</t>
    <rPh sb="0" eb="2">
      <t>トウジツ</t>
    </rPh>
    <rPh sb="4" eb="6">
      <t>ツウジョウ</t>
    </rPh>
    <rPh sb="6" eb="8">
      <t>キンム</t>
    </rPh>
    <phoneticPr fontId="2"/>
  </si>
  <si>
    <t>育児短時間勤務の場合</t>
    <rPh sb="0" eb="2">
      <t>イクジ</t>
    </rPh>
    <rPh sb="2" eb="3">
      <t>タン</t>
    </rPh>
    <rPh sb="3" eb="5">
      <t>ジカン</t>
    </rPh>
    <rPh sb="5" eb="7">
      <t>キンム</t>
    </rPh>
    <rPh sb="8" eb="10">
      <t>バアイ</t>
    </rPh>
    <phoneticPr fontId="2"/>
  </si>
  <si>
    <t>通常勤務？</t>
    <rPh sb="0" eb="2">
      <t>ツウジョウ</t>
    </rPh>
    <rPh sb="2" eb="4">
      <t>キンム</t>
    </rPh>
    <phoneticPr fontId="2"/>
  </si>
  <si>
    <t>24:00までの分</t>
    <rPh sb="8" eb="9">
      <t>ブン</t>
    </rPh>
    <phoneticPr fontId="2"/>
  </si>
  <si>
    <t>+25(175)
24:00までの分</t>
    <rPh sb="17" eb="18">
      <t>ブン</t>
    </rPh>
    <phoneticPr fontId="2"/>
  </si>
  <si>
    <t>+15(175)
24:00までの分</t>
    <rPh sb="17" eb="18">
      <t>ブン</t>
    </rPh>
    <phoneticPr fontId="2"/>
  </si>
  <si>
    <t>135/100の部分</t>
    <phoneticPr fontId="2"/>
  </si>
  <si>
    <t>160/100の部分</t>
    <phoneticPr fontId="2"/>
  </si>
  <si>
    <t>時刻形式で表した場合</t>
    <rPh sb="0" eb="2">
      <t>ジコク</t>
    </rPh>
    <rPh sb="2" eb="4">
      <t>ケイシキ</t>
    </rPh>
    <rPh sb="5" eb="6">
      <t>アラワ</t>
    </rPh>
    <rPh sb="8" eb="10">
      <t>バアイ</t>
    </rPh>
    <phoneticPr fontId="2"/>
  </si>
  <si>
    <t>田中　一郎</t>
    <rPh sb="0" eb="2">
      <t>タナカ</t>
    </rPh>
    <rPh sb="3" eb="5">
      <t>イチロウ</t>
    </rPh>
    <phoneticPr fontId="2"/>
  </si>
  <si>
    <t>休</t>
    <rPh sb="0" eb="1">
      <t>ヤス</t>
    </rPh>
    <phoneticPr fontId="2"/>
  </si>
  <si>
    <t>振</t>
    <rPh sb="0" eb="1">
      <t>フ</t>
    </rPh>
    <phoneticPr fontId="2"/>
  </si>
  <si>
    <t>育</t>
    <rPh sb="0" eb="1">
      <t>イク</t>
    </rPh>
    <phoneticPr fontId="2"/>
  </si>
  <si>
    <t>宿</t>
    <rPh sb="0" eb="1">
      <t>ヤド</t>
    </rPh>
    <phoneticPr fontId="2"/>
  </si>
  <si>
    <t>宿(休)</t>
    <rPh sb="0" eb="1">
      <t>ヤド</t>
    </rPh>
    <rPh sb="2" eb="3">
      <t>キュウ</t>
    </rPh>
    <phoneticPr fontId="2"/>
  </si>
  <si>
    <t>日</t>
    <rPh sb="0" eb="1">
      <t>ニチ</t>
    </rPh>
    <phoneticPr fontId="2"/>
  </si>
  <si>
    <r>
      <t xml:space="preserve">定時内
</t>
    </r>
    <r>
      <rPr>
        <sz val="9"/>
        <rFont val="ＭＳ Ｐゴシック"/>
        <family val="3"/>
        <charset val="128"/>
      </rPr>
      <t>(振勤
or育短用)</t>
    </r>
    <rPh sb="5" eb="6">
      <t>オサム</t>
    </rPh>
    <rPh sb="6" eb="7">
      <t>ツトム</t>
    </rPh>
    <rPh sb="10" eb="12">
      <t>イクタン</t>
    </rPh>
    <phoneticPr fontId="2"/>
  </si>
  <si>
    <t>0:00～
5:00</t>
    <phoneticPr fontId="2"/>
  </si>
  <si>
    <t>0:00～
5:00</t>
    <phoneticPr fontId="2"/>
  </si>
  <si>
    <t>5:00～22:00
の分</t>
    <rPh sb="12" eb="13">
      <t>ブン</t>
    </rPh>
    <phoneticPr fontId="2"/>
  </si>
  <si>
    <t>定時内
（育短）</t>
    <rPh sb="0" eb="2">
      <t>テイジ</t>
    </rPh>
    <rPh sb="2" eb="3">
      <t>ナイ</t>
    </rPh>
    <rPh sb="5" eb="7">
      <t>イクタン</t>
    </rPh>
    <phoneticPr fontId="2"/>
  </si>
  <si>
    <t>定時内
（育短）</t>
    <phoneticPr fontId="2"/>
  </si>
  <si>
    <r>
      <t>超過勤務時間
（６０時間を超えている部分を</t>
    </r>
    <r>
      <rPr>
        <sz val="11"/>
        <color indexed="10"/>
        <rFont val="ＭＳ Ｐゴシック"/>
        <family val="3"/>
        <charset val="128"/>
      </rPr>
      <t>除く</t>
    </r>
    <r>
      <rPr>
        <sz val="11"/>
        <rFont val="ＭＳ Ｐゴシック"/>
        <family val="3"/>
        <charset val="128"/>
      </rPr>
      <t>）</t>
    </r>
    <rPh sb="0" eb="2">
      <t>チョウカ</t>
    </rPh>
    <rPh sb="2" eb="4">
      <t>キンム</t>
    </rPh>
    <rPh sb="4" eb="6">
      <t>ジカン</t>
    </rPh>
    <rPh sb="10" eb="12">
      <t>ジカン</t>
    </rPh>
    <rPh sb="13" eb="14">
      <t>コ</t>
    </rPh>
    <rPh sb="18" eb="20">
      <t>ブブン</t>
    </rPh>
    <rPh sb="21" eb="22">
      <t>ノゾ</t>
    </rPh>
    <phoneticPr fontId="2"/>
  </si>
  <si>
    <t>0:00～5:00
の分</t>
    <rPh sb="11" eb="12">
      <t>ブン</t>
    </rPh>
    <phoneticPr fontId="2"/>
  </si>
  <si>
    <t>+25(175)
0:00～5:00
の分</t>
    <phoneticPr fontId="2"/>
  </si>
  <si>
    <t>0:00～5:00
の分</t>
    <rPh sb="11" eb="12">
      <t>フン</t>
    </rPh>
    <phoneticPr fontId="2"/>
  </si>
  <si>
    <t>+15(175)
0:00～5:00
の分</t>
    <phoneticPr fontId="2"/>
  </si>
  <si>
    <t>合計勤務時間
（チェック用）</t>
    <rPh sb="0" eb="2">
      <t>ゴウケイ</t>
    </rPh>
    <rPh sb="2" eb="4">
      <t>キンム</t>
    </rPh>
    <rPh sb="4" eb="6">
      <t>ジカン</t>
    </rPh>
    <rPh sb="12" eb="13">
      <t>ヨウ</t>
    </rPh>
    <phoneticPr fontId="2"/>
  </si>
  <si>
    <t>同日の
総勤務時間</t>
    <rPh sb="0" eb="2">
      <t>ドウジツ</t>
    </rPh>
    <rPh sb="4" eb="5">
      <t>ソウ</t>
    </rPh>
    <rPh sb="5" eb="7">
      <t>キンム</t>
    </rPh>
    <rPh sb="7" eb="9">
      <t>ジカン</t>
    </rPh>
    <phoneticPr fontId="2"/>
  </si>
  <si>
    <t>正当性
チェック</t>
    <rPh sb="0" eb="3">
      <t>セイトウセイ</t>
    </rPh>
    <phoneticPr fontId="2"/>
  </si>
  <si>
    <t>▼振替勤務の場合の定時内の勤務時間は除く</t>
    <rPh sb="1" eb="3">
      <t>フリカエ</t>
    </rPh>
    <rPh sb="3" eb="5">
      <t>キンム</t>
    </rPh>
    <rPh sb="6" eb="8">
      <t>バアイ</t>
    </rPh>
    <rPh sb="9" eb="11">
      <t>テイジ</t>
    </rPh>
    <rPh sb="11" eb="12">
      <t>ナイ</t>
    </rPh>
    <rPh sb="13" eb="15">
      <t>キンム</t>
    </rPh>
    <rPh sb="15" eb="17">
      <t>ジカン</t>
    </rPh>
    <rPh sb="18" eb="19">
      <t>ノゾ</t>
    </rPh>
    <phoneticPr fontId="2"/>
  </si>
  <si>
    <t>正規
始業時刻</t>
    <rPh sb="0" eb="2">
      <t>セイキ</t>
    </rPh>
    <rPh sb="3" eb="5">
      <t>シギョウ</t>
    </rPh>
    <rPh sb="5" eb="7">
      <t>ジコク</t>
    </rPh>
    <phoneticPr fontId="2"/>
  </si>
  <si>
    <t>正規
終業時刻</t>
    <rPh sb="0" eb="2">
      <t>セイキ</t>
    </rPh>
    <rPh sb="3" eb="5">
      <t>シュウギョウ</t>
    </rPh>
    <rPh sb="5" eb="7">
      <t>ジコク</t>
    </rPh>
    <phoneticPr fontId="2"/>
  </si>
  <si>
    <t>育短
始業時刻</t>
    <rPh sb="0" eb="2">
      <t>イクタン</t>
    </rPh>
    <rPh sb="3" eb="5">
      <t>シギョウ</t>
    </rPh>
    <rPh sb="5" eb="7">
      <t>ジコク</t>
    </rPh>
    <phoneticPr fontId="2"/>
  </si>
  <si>
    <t>育短
終業時刻</t>
    <rPh sb="0" eb="2">
      <t>イクタン</t>
    </rPh>
    <rPh sb="3" eb="5">
      <t>シュウギョウ</t>
    </rPh>
    <rPh sb="5" eb="7">
      <t>ジコク</t>
    </rPh>
    <phoneticPr fontId="2"/>
  </si>
  <si>
    <r>
      <t>短縮</t>
    </r>
    <r>
      <rPr>
        <sz val="11"/>
        <color indexed="10"/>
        <rFont val="ＭＳ Ｐゴシック"/>
        <family val="3"/>
        <charset val="128"/>
      </rPr>
      <t>後</t>
    </r>
    <r>
      <rPr>
        <sz val="11"/>
        <rFont val="ＭＳ Ｐゴシック"/>
        <family val="3"/>
        <charset val="128"/>
      </rPr>
      <t xml:space="preserve">
終業時刻</t>
    </r>
    <rPh sb="0" eb="2">
      <t>タンシュク</t>
    </rPh>
    <rPh sb="2" eb="3">
      <t>ゴ</t>
    </rPh>
    <rPh sb="4" eb="6">
      <t>シュウギョウ</t>
    </rPh>
    <rPh sb="6" eb="8">
      <t>ジコク</t>
    </rPh>
    <phoneticPr fontId="2"/>
  </si>
  <si>
    <r>
      <t>短縮</t>
    </r>
    <r>
      <rPr>
        <sz val="11"/>
        <color indexed="10"/>
        <rFont val="ＭＳ Ｐゴシック"/>
        <family val="3"/>
        <charset val="128"/>
      </rPr>
      <t xml:space="preserve">後
</t>
    </r>
    <r>
      <rPr>
        <sz val="11"/>
        <rFont val="ＭＳ Ｐゴシック"/>
        <family val="3"/>
        <charset val="128"/>
      </rPr>
      <t>始業時刻</t>
    </r>
    <rPh sb="0" eb="2">
      <t>タンシュク</t>
    </rPh>
    <rPh sb="2" eb="3">
      <t>ゴ</t>
    </rPh>
    <rPh sb="4" eb="6">
      <t>シギョウ</t>
    </rPh>
    <rPh sb="6" eb="8">
      <t>ジコク</t>
    </rPh>
    <phoneticPr fontId="2"/>
  </si>
  <si>
    <t>入力可能時刻（開始）</t>
    <rPh sb="0" eb="2">
      <t>ニュウリョク</t>
    </rPh>
    <rPh sb="2" eb="4">
      <t>カノウ</t>
    </rPh>
    <rPh sb="4" eb="6">
      <t>ジコク</t>
    </rPh>
    <rPh sb="7" eb="9">
      <t>カイシ</t>
    </rPh>
    <phoneticPr fontId="2"/>
  </si>
  <si>
    <t>入力可能時刻（終了）</t>
    <rPh sb="0" eb="2">
      <t>ニュウリョク</t>
    </rPh>
    <rPh sb="2" eb="4">
      <t>カノウ</t>
    </rPh>
    <rPh sb="4" eb="6">
      <t>ジコク</t>
    </rPh>
    <rPh sb="7" eb="9">
      <t>シュウリョウ</t>
    </rPh>
    <phoneticPr fontId="2"/>
  </si>
  <si>
    <t>入力可能な箇所は、以下の通りです。</t>
    <rPh sb="0" eb="2">
      <t>ニュウリョク</t>
    </rPh>
    <rPh sb="2" eb="4">
      <t>カノウ</t>
    </rPh>
    <rPh sb="5" eb="7">
      <t>カショ</t>
    </rPh>
    <rPh sb="9" eb="11">
      <t>イカ</t>
    </rPh>
    <rPh sb="12" eb="13">
      <t>トオ</t>
    </rPh>
    <phoneticPr fontId="2"/>
  </si>
  <si>
    <t>・年月</t>
  </si>
  <si>
    <t>・氏名</t>
  </si>
  <si>
    <t>・うち休憩時間等</t>
  </si>
  <si>
    <t>・業務内容</t>
  </si>
  <si>
    <t>勤務形態（シフト）は、「入力値なし」またはリストから値を選択します。</t>
    <rPh sb="0" eb="2">
      <t>キンム</t>
    </rPh>
    <rPh sb="2" eb="4">
      <t>ケイタイ</t>
    </rPh>
    <rPh sb="12" eb="14">
      <t>ニュウリョク</t>
    </rPh>
    <rPh sb="14" eb="15">
      <t>アタイ</t>
    </rPh>
    <rPh sb="26" eb="27">
      <t>アタイ</t>
    </rPh>
    <rPh sb="28" eb="30">
      <t>センタク</t>
    </rPh>
    <phoneticPr fontId="2"/>
  </si>
  <si>
    <t>⇒</t>
    <phoneticPr fontId="2"/>
  </si>
  <si>
    <t>休日</t>
    <rPh sb="0" eb="2">
      <t>キュウジツ</t>
    </rPh>
    <phoneticPr fontId="2"/>
  </si>
  <si>
    <t>宿直</t>
    <rPh sb="0" eb="2">
      <t>シュクチョク</t>
    </rPh>
    <phoneticPr fontId="2"/>
  </si>
  <si>
    <t>日直</t>
    <rPh sb="0" eb="2">
      <t>ニッチョク</t>
    </rPh>
    <phoneticPr fontId="2"/>
  </si>
  <si>
    <t>【値なし】</t>
    <rPh sb="1" eb="2">
      <t>アタイ</t>
    </rPh>
    <phoneticPr fontId="2"/>
  </si>
  <si>
    <t>通常の勤務日</t>
    <rPh sb="0" eb="2">
      <t>ツウジョウ</t>
    </rPh>
    <rPh sb="3" eb="6">
      <t>キンムビ</t>
    </rPh>
    <phoneticPr fontId="2"/>
  </si>
  <si>
    <t>同じ日の実績勤務時間または、休憩時間は時間が重ならないように入力してください。</t>
    <rPh sb="0" eb="1">
      <t>オナ</t>
    </rPh>
    <rPh sb="2" eb="3">
      <t>ヒ</t>
    </rPh>
    <rPh sb="4" eb="6">
      <t>ジッセキ</t>
    </rPh>
    <rPh sb="6" eb="8">
      <t>キンム</t>
    </rPh>
    <rPh sb="8" eb="10">
      <t>ジカン</t>
    </rPh>
    <rPh sb="14" eb="16">
      <t>キュウケイ</t>
    </rPh>
    <rPh sb="16" eb="18">
      <t>ジカン</t>
    </rPh>
    <rPh sb="19" eb="21">
      <t>ジカン</t>
    </rPh>
    <rPh sb="22" eb="23">
      <t>カサ</t>
    </rPh>
    <rPh sb="30" eb="32">
      <t>ニュウリョク</t>
    </rPh>
    <phoneticPr fontId="2"/>
  </si>
  <si>
    <t>例）以下のような入力はNGです</t>
    <rPh sb="0" eb="1">
      <t>レイ</t>
    </rPh>
    <rPh sb="2" eb="4">
      <t>イカ</t>
    </rPh>
    <rPh sb="8" eb="10">
      <t>ニュウリョク</t>
    </rPh>
    <phoneticPr fontId="2"/>
  </si>
  <si>
    <t>～</t>
  </si>
  <si>
    <r>
      <t>・勤務形態（シフト）</t>
    </r>
    <r>
      <rPr>
        <sz val="9"/>
        <rFont val="ＭＳ Ｐゴシック"/>
        <family val="3"/>
        <charset val="128"/>
      </rPr>
      <t xml:space="preserve"> ※曜日の下</t>
    </r>
    <phoneticPr fontId="2"/>
  </si>
  <si>
    <t>こども病院</t>
    <rPh sb="3" eb="5">
      <t>ビョウイン</t>
    </rPh>
    <phoneticPr fontId="2"/>
  </si>
  <si>
    <t>医師</t>
    <rPh sb="0" eb="2">
      <t>イシ</t>
    </rPh>
    <phoneticPr fontId="2"/>
  </si>
  <si>
    <t>21～末日</t>
    <rPh sb="3" eb="5">
      <t>マツジツ</t>
    </rPh>
    <phoneticPr fontId="2"/>
  </si>
  <si>
    <t>1～２０日</t>
    <rPh sb="4" eb="5">
      <t>ヒ</t>
    </rPh>
    <phoneticPr fontId="2"/>
  </si>
  <si>
    <t>うち休憩時間等</t>
    <phoneticPr fontId="2"/>
  </si>
  <si>
    <t>実 績 勤 務 時 間</t>
    <phoneticPr fontId="2"/>
  </si>
  <si>
    <t>うち休憩時間等</t>
    <phoneticPr fontId="2"/>
  </si>
  <si>
    <t>開始</t>
    <rPh sb="0" eb="2">
      <t>カイシ</t>
    </rPh>
    <phoneticPr fontId="2"/>
  </si>
  <si>
    <t>終了</t>
    <rPh sb="0" eb="2">
      <t>シュウリョウ</t>
    </rPh>
    <phoneticPr fontId="2"/>
  </si>
  <si>
    <t>00000000</t>
    <phoneticPr fontId="2"/>
  </si>
  <si>
    <r>
      <t>　　時間</t>
    </r>
    <r>
      <rPr>
        <sz val="11"/>
        <rFont val="ＭＳ Ｐゴシック"/>
        <family val="3"/>
        <charset val="128"/>
      </rPr>
      <t>　</t>
    </r>
    <r>
      <rPr>
        <vertAlign val="superscript"/>
        <sz val="11"/>
        <rFont val="ＭＳ Ｐゴシック"/>
        <family val="3"/>
        <charset val="128"/>
      </rPr>
      <t>分</t>
    </r>
    <rPh sb="2" eb="4">
      <t>ジカン</t>
    </rPh>
    <rPh sb="5" eb="6">
      <t>フン</t>
    </rPh>
    <phoneticPr fontId="2"/>
  </si>
  <si>
    <r>
      <t>　　時間</t>
    </r>
    <r>
      <rPr>
        <sz val="11"/>
        <rFont val="ＭＳ Ｐゴシック"/>
        <family val="3"/>
        <charset val="128"/>
      </rPr>
      <t xml:space="preserve">　 </t>
    </r>
    <r>
      <rPr>
        <vertAlign val="superscript"/>
        <sz val="11"/>
        <rFont val="ＭＳ Ｐゴシック"/>
        <family val="3"/>
        <charset val="128"/>
      </rPr>
      <t>分  秒</t>
    </r>
    <rPh sb="2" eb="4">
      <t>ジカン</t>
    </rPh>
    <rPh sb="6" eb="7">
      <t>フン</t>
    </rPh>
    <rPh sb="9" eb="10">
      <t>ビョウ</t>
    </rPh>
    <phoneticPr fontId="2"/>
  </si>
  <si>
    <t>（曜日）</t>
    <rPh sb="1" eb="3">
      <t>ヨウビ</t>
    </rPh>
    <phoneticPr fontId="2"/>
  </si>
  <si>
    <t>職員番号</t>
    <rPh sb="0" eb="2">
      <t>ショクイン</t>
    </rPh>
    <rPh sb="2" eb="4">
      <t>バンゴウ</t>
    </rPh>
    <phoneticPr fontId="2"/>
  </si>
  <si>
    <t>診療科</t>
    <rPh sb="0" eb="2">
      <t>シンリョウ</t>
    </rPh>
    <rPh sb="2" eb="3">
      <t>カ</t>
    </rPh>
    <phoneticPr fontId="2"/>
  </si>
  <si>
    <t>氏　名</t>
    <rPh sb="0" eb="1">
      <t>シ</t>
    </rPh>
    <rPh sb="2" eb="3">
      <t>メイ</t>
    </rPh>
    <phoneticPr fontId="2"/>
  </si>
  <si>
    <t>～</t>
    <phoneticPr fontId="2"/>
  </si>
  <si>
    <t>(備考)</t>
    <rPh sb="1" eb="3">
      <t>ビコウ</t>
    </rPh>
    <phoneticPr fontId="42"/>
  </si>
  <si>
    <t>　次のコード番号を必ず記入すること。</t>
    <rPh sb="1" eb="2">
      <t>ツギ</t>
    </rPh>
    <rPh sb="6" eb="8">
      <t>バンゴウ</t>
    </rPh>
    <rPh sb="9" eb="10">
      <t>カナラ</t>
    </rPh>
    <rPh sb="11" eb="13">
      <t>キニュウ</t>
    </rPh>
    <phoneticPr fontId="42"/>
  </si>
  <si>
    <t>①勤務
形態</t>
    <rPh sb="1" eb="3">
      <t>キンム</t>
    </rPh>
    <rPh sb="4" eb="6">
      <t>ケイタイ</t>
    </rPh>
    <phoneticPr fontId="2"/>
  </si>
  <si>
    <t>150/100</t>
  </si>
  <si>
    <t>平日（22時～5時）</t>
    <rPh sb="0" eb="2">
      <t>ヘイジツ</t>
    </rPh>
    <rPh sb="5" eb="6">
      <t>ジ</t>
    </rPh>
    <rPh sb="8" eb="9">
      <t>ジ</t>
    </rPh>
    <phoneticPr fontId="2"/>
  </si>
  <si>
    <t>休日（22時～5時）</t>
    <rPh sb="0" eb="2">
      <t>キュウジツ</t>
    </rPh>
    <rPh sb="5" eb="6">
      <t>ジ</t>
    </rPh>
    <rPh sb="8" eb="9">
      <t>ジ</t>
    </rPh>
    <phoneticPr fontId="2"/>
  </si>
  <si>
    <t>宿日直勤務</t>
    <rPh sb="0" eb="1">
      <t>シュク</t>
    </rPh>
    <rPh sb="1" eb="3">
      <t>ニッチョク</t>
    </rPh>
    <rPh sb="3" eb="5">
      <t>キンム</t>
    </rPh>
    <phoneticPr fontId="2"/>
  </si>
  <si>
    <t>　　　　回</t>
    <rPh sb="4" eb="5">
      <t>カイ</t>
    </rPh>
    <phoneticPr fontId="2"/>
  </si>
  <si>
    <t>超過勤務</t>
    <phoneticPr fontId="2"/>
  </si>
  <si>
    <t>④勤務の区分</t>
    <phoneticPr fontId="2"/>
  </si>
  <si>
    <t xml:space="preserve">⑤具　体　的　な　業　務　内　容
（ｺｰﾄﾞ番号を必ず記入すること）
</t>
    <phoneticPr fontId="2"/>
  </si>
  <si>
    <t>職員は、「①勤務形態」を選択して下さい。通常の勤務は、空白です。</t>
    <rPh sb="0" eb="2">
      <t>ショクイン</t>
    </rPh>
    <rPh sb="6" eb="8">
      <t>キンム</t>
    </rPh>
    <rPh sb="8" eb="10">
      <t>ケイタイ</t>
    </rPh>
    <rPh sb="12" eb="14">
      <t>センタク</t>
    </rPh>
    <rPh sb="16" eb="17">
      <t>クダ</t>
    </rPh>
    <rPh sb="20" eb="22">
      <t>ツウジョウ</t>
    </rPh>
    <rPh sb="23" eb="25">
      <t>キンム</t>
    </rPh>
    <rPh sb="27" eb="29">
      <t>クウハク</t>
    </rPh>
    <phoneticPr fontId="42"/>
  </si>
  <si>
    <t>職員は、超過勤務時間を「②実績勤務時間」欄に記入すること。記入例　　17:30～19:30    休憩時間が有る場合は、③に記入　　</t>
    <rPh sb="0" eb="2">
      <t>ショクイン</t>
    </rPh>
    <rPh sb="4" eb="6">
      <t>チョウカ</t>
    </rPh>
    <rPh sb="6" eb="8">
      <t>キンム</t>
    </rPh>
    <rPh sb="8" eb="10">
      <t>ジカン</t>
    </rPh>
    <rPh sb="13" eb="15">
      <t>ジッセキ</t>
    </rPh>
    <rPh sb="15" eb="17">
      <t>キンム</t>
    </rPh>
    <rPh sb="17" eb="19">
      <t>ジカン</t>
    </rPh>
    <rPh sb="20" eb="21">
      <t>ラン</t>
    </rPh>
    <rPh sb="22" eb="24">
      <t>キニュウ</t>
    </rPh>
    <rPh sb="49" eb="51">
      <t>キュウケイ</t>
    </rPh>
    <rPh sb="51" eb="53">
      <t>ジカン</t>
    </rPh>
    <rPh sb="54" eb="55">
      <t>ア</t>
    </rPh>
    <rPh sb="56" eb="58">
      <t>バアイ</t>
    </rPh>
    <rPh sb="62" eb="64">
      <t>キニュウ</t>
    </rPh>
    <phoneticPr fontId="42"/>
  </si>
  <si>
    <t>職員は、超過勤務の具体的な内容を「⑤具体的な業務内容」欄に記入すること。</t>
    <rPh sb="0" eb="2">
      <t>ショクイン</t>
    </rPh>
    <rPh sb="4" eb="6">
      <t>チョウカ</t>
    </rPh>
    <rPh sb="6" eb="8">
      <t>キンム</t>
    </rPh>
    <rPh sb="9" eb="12">
      <t>グタイテキ</t>
    </rPh>
    <rPh sb="13" eb="15">
      <t>ナイヨウ</t>
    </rPh>
    <rPh sb="18" eb="21">
      <t>グタイテキ</t>
    </rPh>
    <rPh sb="22" eb="24">
      <t>ギョウム</t>
    </rPh>
    <rPh sb="24" eb="26">
      <t>ナイヨウ</t>
    </rPh>
    <rPh sb="27" eb="28">
      <t>ラン</t>
    </rPh>
    <rPh sb="29" eb="31">
      <t>キニュウ</t>
    </rPh>
    <phoneticPr fontId="42"/>
  </si>
  <si>
    <t>・②実績勤務時間</t>
    <phoneticPr fontId="2"/>
  </si>
  <si>
    <t>・職員番号</t>
    <rPh sb="3" eb="5">
      <t>バンゴウ</t>
    </rPh>
    <phoneticPr fontId="2"/>
  </si>
  <si>
    <t>コード番号</t>
    <rPh sb="3" eb="5">
      <t>バンゴウ</t>
    </rPh>
    <phoneticPr fontId="2"/>
  </si>
  <si>
    <t>この命令簿は原則として前月21日から始まり当月20日で締める。</t>
    <rPh sb="2" eb="4">
      <t>メイレイ</t>
    </rPh>
    <rPh sb="4" eb="5">
      <t>ボ</t>
    </rPh>
    <rPh sb="6" eb="8">
      <t>ゲンソク</t>
    </rPh>
    <rPh sb="11" eb="13">
      <t>ゼンゲツ</t>
    </rPh>
    <rPh sb="15" eb="16">
      <t>ニチ</t>
    </rPh>
    <rPh sb="18" eb="19">
      <t>ハジ</t>
    </rPh>
    <rPh sb="21" eb="23">
      <t>トウゲツ</t>
    </rPh>
    <rPh sb="25" eb="26">
      <t>ニチ</t>
    </rPh>
    <rPh sb="27" eb="28">
      <t>シ</t>
    </rPh>
    <phoneticPr fontId="42"/>
  </si>
  <si>
    <r>
      <t>　時間</t>
    </r>
    <r>
      <rPr>
        <sz val="14"/>
        <rFont val="ＭＳ Ｐゴシック"/>
        <family val="3"/>
        <charset val="128"/>
      </rPr>
      <t>　</t>
    </r>
    <r>
      <rPr>
        <vertAlign val="superscript"/>
        <sz val="14"/>
        <rFont val="ＭＳ Ｐゴシック"/>
        <family val="3"/>
        <charset val="128"/>
      </rPr>
      <t>分</t>
    </r>
    <rPh sb="1" eb="3">
      <t>ジカン</t>
    </rPh>
    <rPh sb="4" eb="5">
      <t>フン</t>
    </rPh>
    <phoneticPr fontId="2"/>
  </si>
  <si>
    <t>100/100の部分</t>
    <phoneticPr fontId="2"/>
  </si>
  <si>
    <r>
      <t>125</t>
    </r>
    <r>
      <rPr>
        <b/>
        <sz val="13"/>
        <rFont val="ＭＳ Ｐゴシック"/>
        <family val="3"/>
        <charset val="128"/>
      </rPr>
      <t xml:space="preserve">
</t>
    </r>
    <r>
      <rPr>
        <sz val="13"/>
        <rFont val="ＭＳ Ｐゴシック"/>
        <family val="3"/>
        <charset val="128"/>
      </rPr>
      <t>/100</t>
    </r>
    <phoneticPr fontId="2"/>
  </si>
  <si>
    <t>所属
長印</t>
    <rPh sb="0" eb="2">
      <t>ショゾク</t>
    </rPh>
    <rPh sb="3" eb="4">
      <t>チョウ</t>
    </rPh>
    <rPh sb="4" eb="5">
      <t>ジルシ</t>
    </rPh>
    <phoneticPr fontId="2"/>
  </si>
  <si>
    <t>③うち休憩時間等</t>
    <phoneticPr fontId="2"/>
  </si>
  <si>
    <t>従事
者印</t>
    <rPh sb="0" eb="2">
      <t>ジュウジ</t>
    </rPh>
    <rPh sb="3" eb="4">
      <t>モノ</t>
    </rPh>
    <rPh sb="4" eb="5">
      <t>イン</t>
    </rPh>
    <phoneticPr fontId="2"/>
  </si>
  <si>
    <t>・所属（診療科）</t>
    <rPh sb="4" eb="7">
      <t>シンリョウカ</t>
    </rPh>
    <phoneticPr fontId="2"/>
  </si>
  <si>
    <t>宿日</t>
  </si>
  <si>
    <t>宿日</t>
    <rPh sb="0" eb="1">
      <t>シュク</t>
    </rPh>
    <rPh sb="1" eb="2">
      <t>ニチ</t>
    </rPh>
    <phoneticPr fontId="2"/>
  </si>
  <si>
    <t>日直勤務</t>
    <rPh sb="0" eb="2">
      <t>ニッチョク</t>
    </rPh>
    <rPh sb="2" eb="4">
      <t>キンム</t>
    </rPh>
    <phoneticPr fontId="2"/>
  </si>
  <si>
    <t>宿直勤務</t>
    <rPh sb="0" eb="1">
      <t>シュク</t>
    </rPh>
    <rPh sb="1" eb="2">
      <t>チョク</t>
    </rPh>
    <rPh sb="2" eb="4">
      <t>キンム</t>
    </rPh>
    <phoneticPr fontId="2"/>
  </si>
  <si>
    <t xml:space="preserve">②実績勤務時間
   （勤務命令時間）
</t>
    <rPh sb="1" eb="3">
      <t>ジッセキ</t>
    </rPh>
    <rPh sb="3" eb="5">
      <t>キンム</t>
    </rPh>
    <rPh sb="5" eb="7">
      <t>ジカン</t>
    </rPh>
    <rPh sb="12" eb="14">
      <t>キンム</t>
    </rPh>
    <rPh sb="14" eb="16">
      <t>メイレイ</t>
    </rPh>
    <rPh sb="16" eb="18">
      <t>ジカン</t>
    </rPh>
    <phoneticPr fontId="2"/>
  </si>
  <si>
    <t>勤務時間入力は、20時15分の場合＝　20:15　と入力</t>
  </si>
  <si>
    <t>超過勤務、宿日直勤務命令簿</t>
    <rPh sb="0" eb="2">
      <t>チョウカ</t>
    </rPh>
    <rPh sb="2" eb="4">
      <t>キンム</t>
    </rPh>
    <rPh sb="5" eb="6">
      <t>シュク</t>
    </rPh>
    <rPh sb="6" eb="8">
      <t>ニッチョク</t>
    </rPh>
    <rPh sb="8" eb="10">
      <t>キンム</t>
    </rPh>
    <rPh sb="10" eb="12">
      <t>メイレイ</t>
    </rPh>
    <rPh sb="12" eb="13">
      <t>ボ</t>
    </rPh>
    <phoneticPr fontId="2"/>
  </si>
  <si>
    <t>振替勤務日（休日に勤務し、当該週を超えて代休を取得した場合）</t>
    <rPh sb="0" eb="2">
      <t>フリカエ</t>
    </rPh>
    <rPh sb="2" eb="5">
      <t>キンムビ</t>
    </rPh>
    <phoneticPr fontId="2"/>
  </si>
  <si>
    <t>育児短時間勤務職員で超過勤務を行った場合</t>
    <phoneticPr fontId="2"/>
  </si>
  <si>
    <t>（リストボックスの説明）</t>
    <phoneticPr fontId="2"/>
  </si>
  <si>
    <t>超過勤務を行った日の「実績勤務時間」及び「うち休憩時間等」に開始時間と終了時間を入力してください。</t>
    <rPh sb="11" eb="13">
      <t>ジッセキ</t>
    </rPh>
    <rPh sb="13" eb="15">
      <t>キンム</t>
    </rPh>
    <phoneticPr fontId="2"/>
  </si>
  <si>
    <t>各日の曜日の下の白色のセルのリストボックスから該当日の勤務形態を選択してください。</t>
    <phoneticPr fontId="2"/>
  </si>
  <si>
    <t>超過勤務実績を入力する前に、年及び月を変更し、カレンダーの設定、所属、職員コード、氏名の</t>
    <phoneticPr fontId="2"/>
  </si>
  <si>
    <t>勤務形態を正確に入力していないと、支給割合に間違いが出るのでご注意下さい。</t>
    <rPh sb="0" eb="2">
      <t>キンム</t>
    </rPh>
    <rPh sb="2" eb="4">
      <t>ケイタイ</t>
    </rPh>
    <rPh sb="5" eb="7">
      <t>セイカク</t>
    </rPh>
    <rPh sb="8" eb="10">
      <t>ニュウリョク</t>
    </rPh>
    <rPh sb="17" eb="19">
      <t>シキュウ</t>
    </rPh>
    <rPh sb="19" eb="21">
      <t>ワリアイ</t>
    </rPh>
    <rPh sb="22" eb="24">
      <t>マチガ</t>
    </rPh>
    <rPh sb="26" eb="27">
      <t>デ</t>
    </rPh>
    <rPh sb="31" eb="33">
      <t>チュウイ</t>
    </rPh>
    <rPh sb="33" eb="34">
      <t>クダ</t>
    </rPh>
    <phoneticPr fontId="2"/>
  </si>
  <si>
    <t>報告分</t>
    <rPh sb="0" eb="3">
      <t>ホウコクブン</t>
    </rPh>
    <phoneticPr fontId="2"/>
  </si>
  <si>
    <t>命令簿入力方法</t>
    <rPh sb="3" eb="5">
      <t>ニュウリョク</t>
    </rPh>
    <rPh sb="5" eb="7">
      <t>ホウホウ</t>
    </rPh>
    <phoneticPr fontId="2"/>
  </si>
  <si>
    <t>所属</t>
    <rPh sb="0" eb="2">
      <t>ショゾク</t>
    </rPh>
    <phoneticPr fontId="2"/>
  </si>
  <si>
    <t>内科救急、放射線、検査の当直は、AM1:45までは勤務でありAM1:45以降超過勤務の開始時間である。</t>
    <rPh sb="12" eb="14">
      <t>トウチョク</t>
    </rPh>
    <rPh sb="25" eb="27">
      <t>キンム</t>
    </rPh>
    <rPh sb="36" eb="38">
      <t>イコウ</t>
    </rPh>
    <rPh sb="38" eb="40">
      <t>チョウカ</t>
    </rPh>
    <rPh sb="40" eb="42">
      <t>キンム</t>
    </rPh>
    <rPh sb="43" eb="45">
      <t>カイシ</t>
    </rPh>
    <rPh sb="45" eb="47">
      <t>ジカン</t>
    </rPh>
    <phoneticPr fontId="2"/>
  </si>
  <si>
    <r>
      <t>休日の宿直</t>
    </r>
    <r>
      <rPr>
        <sz val="11"/>
        <color indexed="10"/>
        <rFont val="ＭＳ Ｐゴシック"/>
        <family val="3"/>
        <charset val="128"/>
      </rPr>
      <t>（内科救急は該当しません）</t>
    </r>
    <rPh sb="0" eb="2">
      <t>キュウジツ</t>
    </rPh>
    <rPh sb="3" eb="5">
      <t>シュクチョク</t>
    </rPh>
    <rPh sb="6" eb="8">
      <t>ナイカ</t>
    </rPh>
    <rPh sb="8" eb="10">
      <t>キュウキュウ</t>
    </rPh>
    <rPh sb="11" eb="13">
      <t>ガイトウ</t>
    </rPh>
    <phoneticPr fontId="2"/>
  </si>
  <si>
    <r>
      <t>宿日直</t>
    </r>
    <r>
      <rPr>
        <sz val="11"/>
        <color indexed="10"/>
        <rFont val="ＭＳ Ｐゴシック"/>
        <family val="3"/>
        <charset val="128"/>
      </rPr>
      <t>（内科救急は該当しません）</t>
    </r>
    <rPh sb="0" eb="3">
      <t>シュクニッチョク</t>
    </rPh>
    <phoneticPr fontId="2"/>
  </si>
  <si>
    <r>
      <t>日直</t>
    </r>
    <r>
      <rPr>
        <sz val="11"/>
        <color indexed="10"/>
        <rFont val="ＭＳ Ｐゴシック"/>
        <family val="3"/>
        <charset val="128"/>
      </rPr>
      <t>（内科救急は該当しません）</t>
    </r>
    <rPh sb="0" eb="2">
      <t>ニッチョク</t>
    </rPh>
    <phoneticPr fontId="2"/>
  </si>
  <si>
    <r>
      <t xml:space="preserve">150
</t>
    </r>
    <r>
      <rPr>
        <sz val="16"/>
        <rFont val="ＭＳ Ｐゴシック"/>
        <family val="3"/>
        <charset val="128"/>
      </rPr>
      <t>/100</t>
    </r>
    <phoneticPr fontId="2"/>
  </si>
  <si>
    <r>
      <t xml:space="preserve">135
</t>
    </r>
    <r>
      <rPr>
        <sz val="16"/>
        <rFont val="ＭＳ Ｐゴシック"/>
        <family val="3"/>
        <charset val="128"/>
      </rPr>
      <t>/100</t>
    </r>
    <phoneticPr fontId="2"/>
  </si>
  <si>
    <r>
      <t xml:space="preserve">160
</t>
    </r>
    <r>
      <rPr>
        <sz val="16"/>
        <rFont val="ＭＳ Ｐゴシック"/>
        <family val="3"/>
        <charset val="128"/>
      </rPr>
      <t>/100</t>
    </r>
    <phoneticPr fontId="2"/>
  </si>
  <si>
    <r>
      <t xml:space="preserve">175
</t>
    </r>
    <r>
      <rPr>
        <sz val="16"/>
        <rFont val="ＭＳ Ｐゴシック"/>
        <family val="3"/>
        <charset val="128"/>
      </rPr>
      <t>/100</t>
    </r>
    <phoneticPr fontId="2"/>
  </si>
  <si>
    <t>２４時を超えて行った超過勤務を入力する場合は、当日の終了時間は「２４：００」と入力し、</t>
    <phoneticPr fontId="2"/>
  </si>
  <si>
    <t>翌日の開始時間を「０：００」と入力し、超過勤務の終了時間を入力してください。</t>
    <phoneticPr fontId="2"/>
  </si>
  <si>
    <t>入力をしてください。 専攻医、フェローの先生は職員番号欄に専攻医またはフェローと入力して下さい。</t>
    <rPh sb="11" eb="14">
      <t>センコウイ</t>
    </rPh>
    <rPh sb="20" eb="22">
      <t>センセイ</t>
    </rPh>
    <rPh sb="23" eb="25">
      <t>ショクイン</t>
    </rPh>
    <rPh sb="25" eb="27">
      <t>バンゴウ</t>
    </rPh>
    <rPh sb="27" eb="28">
      <t>ラン</t>
    </rPh>
    <rPh sb="29" eb="32">
      <t>センコウイ</t>
    </rPh>
    <rPh sb="40" eb="42">
      <t>ニュウリョク</t>
    </rPh>
    <rPh sb="44" eb="45">
      <t>クダ</t>
    </rPh>
    <phoneticPr fontId="2"/>
  </si>
  <si>
    <t>平日（5時～22時）</t>
    <rPh sb="0" eb="2">
      <t>ヘイジツ</t>
    </rPh>
    <rPh sb="4" eb="5">
      <t>ジ</t>
    </rPh>
    <rPh sb="8" eb="9">
      <t>ジ</t>
    </rPh>
    <phoneticPr fontId="2"/>
  </si>
  <si>
    <t>休日（5時～22時）</t>
    <rPh sb="0" eb="2">
      <t>キュウジツ</t>
    </rPh>
    <rPh sb="4" eb="5">
      <t>ジ</t>
    </rPh>
    <rPh sb="8" eb="9">
      <t>ジ</t>
    </rPh>
    <phoneticPr fontId="2"/>
  </si>
  <si>
    <t>超過勤務の開始時間は17時30分である。（救急・集中治療科は除く）</t>
    <rPh sb="0" eb="2">
      <t>チョウカ</t>
    </rPh>
    <rPh sb="2" eb="4">
      <t>キンム</t>
    </rPh>
    <rPh sb="5" eb="7">
      <t>カイシ</t>
    </rPh>
    <rPh sb="7" eb="9">
      <t>ジカン</t>
    </rPh>
    <rPh sb="12" eb="13">
      <t>ジ</t>
    </rPh>
    <rPh sb="15" eb="16">
      <t>フン</t>
    </rPh>
    <rPh sb="21" eb="23">
      <t>キュウキュウ</t>
    </rPh>
    <rPh sb="24" eb="26">
      <t>シュウチュウ</t>
    </rPh>
    <rPh sb="26" eb="28">
      <t>チリョウ</t>
    </rPh>
    <rPh sb="28" eb="29">
      <t>カ</t>
    </rPh>
    <rPh sb="30" eb="31">
      <t>ノゾ</t>
    </rPh>
    <phoneticPr fontId="42"/>
  </si>
  <si>
    <t>当月末20日の超勤に注意してください。</t>
    <rPh sb="0" eb="3">
      <t>トウゲツマツ</t>
    </rPh>
    <rPh sb="5" eb="6">
      <t>ニチ</t>
    </rPh>
    <rPh sb="7" eb="9">
      <t>チョウキン</t>
    </rPh>
    <rPh sb="10" eb="12">
      <t>チュウイ</t>
    </rPh>
    <phoneticPr fontId="2"/>
  </si>
  <si>
    <t>※当月末20日が当直日になっている場合は、翌21日の当直帯終了時までの超勤の申請を当月中に申請してください。</t>
    <rPh sb="1" eb="4">
      <t>トウゲツマツ</t>
    </rPh>
    <rPh sb="6" eb="7">
      <t>ニチ</t>
    </rPh>
    <rPh sb="8" eb="10">
      <t>トウチョク</t>
    </rPh>
    <rPh sb="10" eb="11">
      <t>ビ</t>
    </rPh>
    <rPh sb="17" eb="19">
      <t>バアイ</t>
    </rPh>
    <rPh sb="21" eb="22">
      <t>ヨク</t>
    </rPh>
    <rPh sb="24" eb="25">
      <t>ニチ</t>
    </rPh>
    <rPh sb="26" eb="28">
      <t>トウチョク</t>
    </rPh>
    <rPh sb="28" eb="29">
      <t>オビ</t>
    </rPh>
    <rPh sb="29" eb="32">
      <t>シュウリョウジ</t>
    </rPh>
    <rPh sb="35" eb="37">
      <t>チョウキン</t>
    </rPh>
    <rPh sb="38" eb="40">
      <t>シンセイ</t>
    </rPh>
    <rPh sb="41" eb="44">
      <t>トウゲツチュウ</t>
    </rPh>
    <rPh sb="45" eb="47">
      <t>シンセイ</t>
    </rPh>
    <phoneticPr fontId="2"/>
  </si>
  <si>
    <t>㊟救急外来患者、オンコール対応時のみです。</t>
    <rPh sb="13" eb="15">
      <t>タイオウ</t>
    </rPh>
    <rPh sb="15" eb="16">
      <t>ジ</t>
    </rPh>
    <phoneticPr fontId="2"/>
  </si>
  <si>
    <r>
      <t>⑤具体的な業務内容は、リストボックスから業務内容を選択する。なお、⑤救急患者と</t>
    </r>
    <r>
      <rPr>
        <b/>
        <sz val="11"/>
        <color rgb="FFFF0000"/>
        <rFont val="ＭＳ Ｐゴシック"/>
        <family val="3"/>
        <charset val="128"/>
      </rPr>
      <t>⑧オンコール</t>
    </r>
    <r>
      <rPr>
        <b/>
        <sz val="11"/>
        <rFont val="ＭＳ Ｐゴシック"/>
        <family val="3"/>
        <charset val="128"/>
      </rPr>
      <t>選択時は、</t>
    </r>
    <rPh sb="20" eb="22">
      <t>ギョウム</t>
    </rPh>
    <rPh sb="22" eb="24">
      <t>ナイヨウ</t>
    </rPh>
    <rPh sb="45" eb="47">
      <t>センタク</t>
    </rPh>
    <rPh sb="47" eb="48">
      <t>ジ</t>
    </rPh>
    <phoneticPr fontId="2"/>
  </si>
  <si>
    <t>患者名と診療時間も入力してください。（救急外来業務手当等に関連します。）</t>
    <rPh sb="0" eb="2">
      <t>カンジャ</t>
    </rPh>
    <rPh sb="2" eb="3">
      <t>メイ</t>
    </rPh>
    <rPh sb="4" eb="6">
      <t>シンリョウ</t>
    </rPh>
    <rPh sb="6" eb="8">
      <t>ジカン</t>
    </rPh>
    <rPh sb="19" eb="21">
      <t>キュウキュウ</t>
    </rPh>
    <rPh sb="21" eb="23">
      <t>ガイライ</t>
    </rPh>
    <rPh sb="23" eb="25">
      <t>ギョウム</t>
    </rPh>
    <rPh sb="25" eb="27">
      <t>テアテ</t>
    </rPh>
    <rPh sb="27" eb="28">
      <t>トウ</t>
    </rPh>
    <rPh sb="29" eb="31">
      <t>カンレン</t>
    </rPh>
    <phoneticPr fontId="2"/>
  </si>
  <si>
    <t>実労働時間（通常の勤務時間＋超過勤務時間）とIDカード打刻による記録時間との相違は自己研鑽時間となります。</t>
    <rPh sb="0" eb="1">
      <t>ジツ</t>
    </rPh>
    <rPh sb="1" eb="3">
      <t>ロウドウ</t>
    </rPh>
    <rPh sb="3" eb="5">
      <t>ジカン</t>
    </rPh>
    <rPh sb="6" eb="8">
      <t>ツウジョウ</t>
    </rPh>
    <rPh sb="9" eb="11">
      <t>キンム</t>
    </rPh>
    <rPh sb="11" eb="13">
      <t>ジカン</t>
    </rPh>
    <rPh sb="14" eb="16">
      <t>チョウカ</t>
    </rPh>
    <rPh sb="16" eb="18">
      <t>キンム</t>
    </rPh>
    <rPh sb="18" eb="20">
      <t>ジカン</t>
    </rPh>
    <rPh sb="27" eb="29">
      <t>ダコク</t>
    </rPh>
    <rPh sb="32" eb="34">
      <t>キロク</t>
    </rPh>
    <rPh sb="34" eb="36">
      <t>ジカン</t>
    </rPh>
    <rPh sb="38" eb="40">
      <t>ソウイ</t>
    </rPh>
    <rPh sb="41" eb="43">
      <t>ジコ</t>
    </rPh>
    <rPh sb="43" eb="45">
      <t>ケンサン</t>
    </rPh>
    <rPh sb="45" eb="47">
      <t>ジカン</t>
    </rPh>
    <phoneticPr fontId="2"/>
  </si>
  <si>
    <t>自己研鑽の時間は超過勤務時間に含めないようにご注意ください。</t>
    <rPh sb="0" eb="2">
      <t>ジコ</t>
    </rPh>
    <rPh sb="2" eb="4">
      <t>ケンサン</t>
    </rPh>
    <rPh sb="5" eb="7">
      <t>ジカン</t>
    </rPh>
    <rPh sb="8" eb="10">
      <t>チョウカ</t>
    </rPh>
    <rPh sb="10" eb="12">
      <t>キンム</t>
    </rPh>
    <rPh sb="12" eb="14">
      <t>ジカン</t>
    </rPh>
    <rPh sb="15" eb="16">
      <t>フク</t>
    </rPh>
    <rPh sb="23" eb="25">
      <t>チュウイ</t>
    </rPh>
    <phoneticPr fontId="2"/>
  </si>
  <si>
    <t xml:space="preserve"> 【①分娩、②手術、③検査、④重症患者、⑤救急患者、⑥外来患者、⑦入院診療、⑧オンコール】</t>
    <rPh sb="3" eb="5">
      <t>ブンベン</t>
    </rPh>
    <rPh sb="7" eb="9">
      <t>シュジュツ</t>
    </rPh>
    <rPh sb="11" eb="13">
      <t>ケンサ</t>
    </rPh>
    <rPh sb="15" eb="19">
      <t>ジュウショウカンジャ</t>
    </rPh>
    <rPh sb="21" eb="25">
      <t>キュウキュウカンジャ</t>
    </rPh>
    <rPh sb="27" eb="31">
      <t>ガイライカンジャ</t>
    </rPh>
    <rPh sb="33" eb="35">
      <t>ニュウイン</t>
    </rPh>
    <rPh sb="35" eb="37">
      <t>シンリョウ</t>
    </rPh>
    <phoneticPr fontId="4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</si>
</sst>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_);[Red]\(0\)"/>
    <numFmt numFmtId="177" formatCode="[h]&quot;時&quot;mm&quot;分&quot;"/>
    <numFmt numFmtId="178" formatCode="m/d"/>
    <numFmt numFmtId="179" formatCode="[h]&quot;時間&quot;mm&quot;分&quot;"/>
    <numFmt numFmtId="180" formatCode="[h]:mm"/>
    <numFmt numFmtId="181" formatCode="h:mm;@"/>
    <numFmt numFmtId="182" formatCode="[$-F400]h:mm:ss\ AM/PM"/>
    <numFmt numFmtId="183" formatCode="yyyy/mm/dd"/>
    <numFmt numFmtId="184" formatCode="0.00000_ "/>
    <numFmt numFmtId="185" formatCode="[h]&quot;時&quot;mm&quot;分から&quot;"/>
    <numFmt numFmtId="186" formatCode="h&quot;時&quot;mm&quot;分&quot;;@"/>
    <numFmt numFmtId="187" formatCode="m/d;@"/>
  </numFmts>
  <fonts count="62">
    <font>
      <sz val="11"/>
      <name val="ＭＳ Ｐゴシック"/>
      <family val="3"/>
      <charset val="128"/>
    </font>
    <font>
      <sz val="11"/>
      <name val="ＭＳ Ｐゴシック"/>
      <family val="3"/>
      <charset val="128"/>
    </font>
    <font>
      <sz val="6"/>
      <name val="ＭＳ Ｐゴシック"/>
      <family val="3"/>
      <charset val="128"/>
    </font>
    <font>
      <sz val="11"/>
      <name val="ＭＳ Ｐ明朝"/>
      <family val="1"/>
      <charset val="128"/>
    </font>
    <font>
      <u/>
      <sz val="11"/>
      <color indexed="12"/>
      <name val="ＭＳ Ｐゴシック"/>
      <family val="3"/>
      <charset val="128"/>
    </font>
    <font>
      <sz val="11"/>
      <color indexed="10"/>
      <name val="ＭＳ Ｐゴシック"/>
      <family val="3"/>
      <charset val="128"/>
    </font>
    <font>
      <sz val="9"/>
      <name val="ＭＳ Ｐ明朝"/>
      <family val="1"/>
      <charset val="128"/>
    </font>
    <font>
      <b/>
      <sz val="11"/>
      <color indexed="10"/>
      <name val="ＭＳ Ｐゴシック"/>
      <family val="3"/>
      <charset val="128"/>
    </font>
    <font>
      <sz val="9"/>
      <name val="ＭＳ Ｐゴシック"/>
      <family val="3"/>
      <charset val="128"/>
    </font>
    <font>
      <b/>
      <sz val="12"/>
      <name val="ＭＳ Ｐゴシック"/>
      <family val="3"/>
      <charset val="128"/>
    </font>
    <font>
      <b/>
      <sz val="11"/>
      <name val="ＭＳ Ｐゴシック"/>
      <family val="3"/>
      <charset val="128"/>
    </font>
    <font>
      <sz val="11"/>
      <color indexed="9"/>
      <name val="ＭＳ Ｐゴシック"/>
      <family val="3"/>
      <charset val="128"/>
    </font>
    <font>
      <sz val="11"/>
      <color indexed="8"/>
      <name val="ＭＳ Ｐゴシック"/>
      <family val="3"/>
      <charset val="128"/>
    </font>
    <font>
      <b/>
      <sz val="11"/>
      <color indexed="8"/>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sz val="8"/>
      <name val="ＭＳ Ｐゴシック"/>
      <family val="3"/>
      <charset val="128"/>
    </font>
    <font>
      <sz val="10"/>
      <name val="ＭＳ Ｐゴシック"/>
      <family val="3"/>
      <charset val="128"/>
    </font>
    <font>
      <sz val="12"/>
      <name val="ＭＳ Ｐゴシック"/>
      <family val="3"/>
      <charset val="128"/>
    </font>
    <font>
      <sz val="12"/>
      <name val="ＭＳ Ｐ明朝"/>
      <family val="1"/>
      <charset val="128"/>
    </font>
    <font>
      <b/>
      <sz val="12"/>
      <name val="ＭＳ Ｐ明朝"/>
      <family val="1"/>
      <charset val="128"/>
    </font>
    <font>
      <sz val="12"/>
      <color indexed="10"/>
      <name val="ＭＳ Ｐゴシック"/>
      <family val="3"/>
      <charset val="128"/>
    </font>
    <font>
      <b/>
      <sz val="9"/>
      <name val="ＭＳ Ｐゴシック"/>
      <family val="3"/>
      <charset val="128"/>
    </font>
    <font>
      <b/>
      <sz val="14"/>
      <name val="ＭＳ Ｐゴシック"/>
      <family val="3"/>
      <charset val="128"/>
    </font>
    <font>
      <vertAlign val="superscript"/>
      <sz val="11"/>
      <name val="ＭＳ Ｐゴシック"/>
      <family val="3"/>
      <charset val="128"/>
    </font>
    <font>
      <sz val="11"/>
      <name val="ＭＳ Ｐゴシック"/>
      <family val="3"/>
      <charset val="128"/>
    </font>
    <font>
      <sz val="14"/>
      <name val="ＭＳ Ｐゴシック"/>
      <family val="3"/>
      <charset val="128"/>
    </font>
    <font>
      <sz val="16"/>
      <name val="ＭＳ Ｐゴシック"/>
      <family val="3"/>
      <charset val="128"/>
    </font>
    <font>
      <sz val="14"/>
      <name val="ＭＳ Ｐ明朝"/>
      <family val="1"/>
      <charset val="128"/>
    </font>
    <font>
      <b/>
      <sz val="16"/>
      <name val="ＭＳ Ｐゴシック"/>
      <family val="3"/>
      <charset val="128"/>
    </font>
    <font>
      <sz val="18"/>
      <name val="ＭＳ Ｐゴシック"/>
      <family val="3"/>
      <charset val="128"/>
    </font>
    <font>
      <sz val="6"/>
      <name val="Osaka"/>
      <family val="3"/>
      <charset val="128"/>
    </font>
    <font>
      <b/>
      <sz val="10"/>
      <name val="ＭＳ Ｐゴシック"/>
      <family val="3"/>
      <charset val="128"/>
    </font>
    <font>
      <sz val="22"/>
      <name val="ＭＳ Ｐゴシック"/>
      <family val="3"/>
      <charset val="128"/>
    </font>
    <font>
      <sz val="8"/>
      <color indexed="63"/>
      <name val="ＭＳ Ｐ明朝"/>
      <family val="1"/>
      <charset val="128"/>
    </font>
    <font>
      <vertAlign val="superscript"/>
      <sz val="12"/>
      <name val="ＭＳ Ｐゴシック"/>
      <family val="3"/>
      <charset val="128"/>
    </font>
    <font>
      <vertAlign val="superscript"/>
      <sz val="14"/>
      <name val="ＭＳ Ｐゴシック"/>
      <family val="3"/>
      <charset val="128"/>
    </font>
    <font>
      <sz val="14"/>
      <color indexed="63"/>
      <name val="ＭＳ Ｐ明朝"/>
      <family val="1"/>
      <charset val="128"/>
    </font>
    <font>
      <b/>
      <sz val="18"/>
      <name val="ＭＳ Ｐゴシック"/>
      <family val="3"/>
      <charset val="128"/>
    </font>
    <font>
      <b/>
      <sz val="13"/>
      <name val="ＭＳ Ｐゴシック"/>
      <family val="3"/>
      <charset val="128"/>
    </font>
    <font>
      <sz val="13"/>
      <name val="ＭＳ Ｐゴシック"/>
      <family val="3"/>
      <charset val="128"/>
    </font>
    <font>
      <sz val="20"/>
      <name val="ＭＳ Ｐゴシック"/>
      <family val="3"/>
      <charset val="128"/>
    </font>
    <font>
      <sz val="9"/>
      <color indexed="10"/>
      <name val="ＭＳ Ｐゴシック"/>
      <family val="3"/>
      <charset val="128"/>
    </font>
    <font>
      <b/>
      <u/>
      <sz val="11"/>
      <color indexed="10"/>
      <name val="ＭＳ Ｐゴシック"/>
      <family val="3"/>
      <charset val="128"/>
    </font>
    <font>
      <sz val="24"/>
      <name val="ＭＳ Ｐゴシック"/>
      <family val="3"/>
      <charset val="128"/>
    </font>
    <font>
      <sz val="14"/>
      <name val="Arial"/>
      <family val="2"/>
    </font>
    <font>
      <sz val="14"/>
      <color indexed="10"/>
      <name val="ＭＳ Ｐ明朝"/>
      <family val="1"/>
      <charset val="128"/>
    </font>
    <font>
      <b/>
      <sz val="11"/>
      <color rgb="FFFF0000"/>
      <name val="ＭＳ Ｐゴシック"/>
      <family val="3"/>
      <charset val="128"/>
    </font>
    <font>
      <sz val="8"/>
      <name val="ＭＳ Ｐ明朝"/>
      <family val="1"/>
      <charset val="128"/>
    </font>
    <font>
      <sz val="14"/>
      <color rgb="FFFF0000"/>
      <name val="ＭＳ Ｐゴシック"/>
      <family val="3"/>
      <charset val="128"/>
    </font>
    <font>
      <sz val="11"/>
      <color rgb="FF000000"/>
      <name val="ＭＳ Ｐゴシック"/>
      <family val="2"/>
      <charset val="128"/>
    </font>
  </fonts>
  <fills count="2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22"/>
      </patternFill>
    </fill>
    <fill>
      <patternFill patternType="solid">
        <fgColor indexed="42"/>
        <bgColor indexed="64"/>
      </patternFill>
    </fill>
    <fill>
      <patternFill patternType="solid">
        <fgColor indexed="43"/>
        <bgColor indexed="64"/>
      </patternFill>
    </fill>
    <fill>
      <patternFill patternType="solid">
        <fgColor indexed="27"/>
        <bgColor indexed="64"/>
      </patternFill>
    </fill>
    <fill>
      <patternFill patternType="solid">
        <fgColor indexed="41"/>
        <bgColor indexed="64"/>
      </patternFill>
    </fill>
  </fills>
  <borders count="89">
    <border>
      <left/>
      <right/>
      <top/>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medium">
        <color indexed="64"/>
      </left>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medium">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hair">
        <color indexed="64"/>
      </bottom>
      <diagonal/>
    </border>
    <border>
      <left style="thin">
        <color indexed="64"/>
      </left>
      <right/>
      <top style="hair">
        <color indexed="64"/>
      </top>
      <bottom/>
      <diagonal/>
    </border>
    <border>
      <left/>
      <right style="thin">
        <color indexed="64"/>
      </right>
      <top style="hair">
        <color indexed="64"/>
      </top>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style="hair">
        <color indexed="64"/>
      </bottom>
      <diagonal/>
    </border>
    <border>
      <left style="thin">
        <color indexed="64"/>
      </left>
      <right style="medium">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medium">
        <color indexed="64"/>
      </bottom>
      <diagonal/>
    </border>
    <border>
      <left/>
      <right/>
      <top/>
      <bottom style="hair">
        <color indexed="64"/>
      </bottom>
      <diagonal/>
    </border>
    <border>
      <left/>
      <right/>
      <top style="hair">
        <color indexed="64"/>
      </top>
      <bottom/>
      <diagonal/>
    </border>
    <border>
      <left style="thin">
        <color indexed="64"/>
      </left>
      <right style="medium">
        <color indexed="64"/>
      </right>
      <top style="medium">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45">
    <xf numFmtId="0" fontId="0" fillId="0" borderId="0"/>
    <xf numFmtId="0" fontId="12" fillId="2" borderId="0" applyNumberFormat="0" applyBorder="0" applyAlignment="0" applyProtection="0">
      <alignment vertical="center"/>
    </xf>
    <xf numFmtId="0" fontId="12" fillId="3" borderId="0" applyNumberFormat="0" applyBorder="0" applyAlignment="0" applyProtection="0">
      <alignment vertical="center"/>
    </xf>
    <xf numFmtId="0" fontId="12" fillId="4" borderId="0" applyNumberFormat="0" applyBorder="0" applyAlignment="0" applyProtection="0">
      <alignment vertical="center"/>
    </xf>
    <xf numFmtId="0" fontId="12" fillId="5" borderId="0" applyNumberFormat="0" applyBorder="0" applyAlignment="0" applyProtection="0">
      <alignment vertical="center"/>
    </xf>
    <xf numFmtId="0" fontId="12" fillId="6" borderId="0" applyNumberFormat="0" applyBorder="0" applyAlignment="0" applyProtection="0">
      <alignment vertical="center"/>
    </xf>
    <xf numFmtId="0" fontId="12" fillId="7" borderId="0" applyNumberFormat="0" applyBorder="0" applyAlignment="0" applyProtection="0">
      <alignment vertical="center"/>
    </xf>
    <xf numFmtId="0" fontId="12" fillId="8" borderId="0" applyNumberFormat="0" applyBorder="0" applyAlignment="0" applyProtection="0">
      <alignment vertical="center"/>
    </xf>
    <xf numFmtId="0" fontId="12" fillId="9" borderId="0" applyNumberFormat="0" applyBorder="0" applyAlignment="0" applyProtection="0">
      <alignment vertical="center"/>
    </xf>
    <xf numFmtId="0" fontId="12" fillId="10" borderId="0" applyNumberFormat="0" applyBorder="0" applyAlignment="0" applyProtection="0">
      <alignment vertical="center"/>
    </xf>
    <xf numFmtId="0" fontId="12" fillId="5" borderId="0" applyNumberFormat="0" applyBorder="0" applyAlignment="0" applyProtection="0">
      <alignment vertical="center"/>
    </xf>
    <xf numFmtId="0" fontId="12" fillId="8" borderId="0" applyNumberFormat="0" applyBorder="0" applyAlignment="0" applyProtection="0">
      <alignment vertical="center"/>
    </xf>
    <xf numFmtId="0" fontId="12" fillId="11" borderId="0" applyNumberFormat="0" applyBorder="0" applyAlignment="0" applyProtection="0">
      <alignment vertical="center"/>
    </xf>
    <xf numFmtId="0" fontId="11" fillId="12" borderId="0" applyNumberFormat="0" applyBorder="0" applyAlignment="0" applyProtection="0">
      <alignment vertical="center"/>
    </xf>
    <xf numFmtId="0" fontId="11" fillId="9" borderId="0" applyNumberFormat="0" applyBorder="0" applyAlignment="0" applyProtection="0">
      <alignment vertical="center"/>
    </xf>
    <xf numFmtId="0" fontId="11" fillId="10" borderId="0" applyNumberFormat="0" applyBorder="0" applyAlignment="0" applyProtection="0">
      <alignment vertical="center"/>
    </xf>
    <xf numFmtId="0" fontId="11" fillId="13" borderId="0" applyNumberFormat="0" applyBorder="0" applyAlignment="0" applyProtection="0">
      <alignment vertical="center"/>
    </xf>
    <xf numFmtId="0" fontId="11" fillId="14" borderId="0" applyNumberFormat="0" applyBorder="0" applyAlignment="0" applyProtection="0">
      <alignment vertical="center"/>
    </xf>
    <xf numFmtId="0" fontId="11" fillId="15" borderId="0" applyNumberFormat="0" applyBorder="0" applyAlignment="0" applyProtection="0">
      <alignment vertical="center"/>
    </xf>
    <xf numFmtId="0" fontId="11" fillId="16" borderId="0" applyNumberFormat="0" applyBorder="0" applyAlignment="0" applyProtection="0">
      <alignment vertical="center"/>
    </xf>
    <xf numFmtId="0" fontId="11" fillId="17" borderId="0" applyNumberFormat="0" applyBorder="0" applyAlignment="0" applyProtection="0">
      <alignment vertical="center"/>
    </xf>
    <xf numFmtId="0" fontId="11" fillId="18" borderId="0" applyNumberFormat="0" applyBorder="0" applyAlignment="0" applyProtection="0">
      <alignment vertical="center"/>
    </xf>
    <xf numFmtId="0" fontId="11" fillId="13" borderId="0" applyNumberFormat="0" applyBorder="0" applyAlignment="0" applyProtection="0">
      <alignment vertical="center"/>
    </xf>
    <xf numFmtId="0" fontId="11" fillId="14" borderId="0" applyNumberFormat="0" applyBorder="0" applyAlignment="0" applyProtection="0">
      <alignment vertical="center"/>
    </xf>
    <xf numFmtId="0" fontId="11" fillId="19" borderId="0" applyNumberFormat="0" applyBorder="0" applyAlignment="0" applyProtection="0">
      <alignment vertical="center"/>
    </xf>
    <xf numFmtId="0" fontId="14" fillId="0" borderId="0" applyNumberFormat="0" applyFill="0" applyBorder="0" applyAlignment="0" applyProtection="0">
      <alignment vertical="center"/>
    </xf>
    <xf numFmtId="0" fontId="15" fillId="20" borderId="1" applyNumberFormat="0" applyAlignment="0" applyProtection="0">
      <alignment vertical="center"/>
    </xf>
    <xf numFmtId="0" fontId="16" fillId="21" borderId="0" applyNumberFormat="0" applyBorder="0" applyAlignment="0" applyProtection="0">
      <alignment vertical="center"/>
    </xf>
    <xf numFmtId="0" fontId="4" fillId="0" borderId="0" applyNumberFormat="0" applyFill="0" applyBorder="0" applyAlignment="0" applyProtection="0">
      <alignment vertical="top"/>
      <protection locked="0"/>
    </xf>
    <xf numFmtId="0" fontId="1" fillId="22" borderId="2" applyNumberFormat="0" applyFont="0" applyAlignment="0" applyProtection="0">
      <alignment vertical="center"/>
    </xf>
    <xf numFmtId="0" fontId="17" fillId="0" borderId="3" applyNumberFormat="0" applyFill="0" applyAlignment="0" applyProtection="0">
      <alignment vertical="center"/>
    </xf>
    <xf numFmtId="0" fontId="18" fillId="3" borderId="0" applyNumberFormat="0" applyBorder="0" applyAlignment="0" applyProtection="0">
      <alignment vertical="center"/>
    </xf>
    <xf numFmtId="0" fontId="19" fillId="23" borderId="4" applyNumberFormat="0" applyAlignment="0" applyProtection="0">
      <alignment vertical="center"/>
    </xf>
    <xf numFmtId="0" fontId="5" fillId="0" borderId="0" applyNumberFormat="0" applyFill="0" applyBorder="0" applyAlignment="0" applyProtection="0">
      <alignment vertical="center"/>
    </xf>
    <xf numFmtId="0" fontId="20" fillId="0" borderId="5" applyNumberFormat="0" applyFill="0" applyAlignment="0" applyProtection="0">
      <alignment vertical="center"/>
    </xf>
    <xf numFmtId="0" fontId="21" fillId="0" borderId="6" applyNumberFormat="0" applyFill="0" applyAlignment="0" applyProtection="0">
      <alignment vertical="center"/>
    </xf>
    <xf numFmtId="0" fontId="22" fillId="0" borderId="7" applyNumberFormat="0" applyFill="0" applyAlignment="0" applyProtection="0">
      <alignment vertical="center"/>
    </xf>
    <xf numFmtId="0" fontId="22" fillId="0" borderId="0" applyNumberFormat="0" applyFill="0" applyBorder="0" applyAlignment="0" applyProtection="0">
      <alignment vertical="center"/>
    </xf>
    <xf numFmtId="0" fontId="13" fillId="0" borderId="8" applyNumberFormat="0" applyFill="0" applyAlignment="0" applyProtection="0">
      <alignment vertical="center"/>
    </xf>
    <xf numFmtId="0" fontId="23" fillId="23" borderId="9" applyNumberFormat="0" applyAlignment="0" applyProtection="0">
      <alignment vertical="center"/>
    </xf>
    <xf numFmtId="0" fontId="24" fillId="0" borderId="0" applyNumberFormat="0" applyFill="0" applyBorder="0" applyAlignment="0" applyProtection="0">
      <alignment vertical="center"/>
    </xf>
    <xf numFmtId="0" fontId="25" fillId="7" borderId="4" applyNumberFormat="0" applyAlignment="0" applyProtection="0">
      <alignment vertical="center"/>
    </xf>
    <xf numFmtId="0" fontId="1" fillId="0" borderId="0">
      <alignment vertical="center"/>
    </xf>
    <xf numFmtId="0" fontId="1" fillId="0" borderId="0">
      <alignment vertical="center"/>
    </xf>
    <xf numFmtId="0" fontId="26" fillId="4" borderId="0" applyNumberFormat="0" applyBorder="0" applyAlignment="0" applyProtection="0">
      <alignment vertical="center"/>
    </xf>
  </cellStyleXfs>
  <cellXfs count="373">
    <xf numFmtId="0" fontId="0" fillId="0" borderId="0" xfId="0"/>
    <xf numFmtId="0" fontId="0" fillId="24" borderId="0" xfId="0" applyFill="1"/>
    <xf numFmtId="0" fontId="3" fillId="0" borderId="0" xfId="0" applyFont="1" applyAlignment="1">
      <alignment horizontal="distributed"/>
    </xf>
    <xf numFmtId="0" fontId="8" fillId="0" borderId="0" xfId="0" applyFont="1" applyAlignment="1">
      <alignment horizontal="right"/>
    </xf>
    <xf numFmtId="0" fontId="5" fillId="0" borderId="0" xfId="0" applyFont="1"/>
    <xf numFmtId="0" fontId="0" fillId="0" borderId="0" xfId="0" applyAlignment="1">
      <alignment horizontal="center"/>
    </xf>
    <xf numFmtId="0" fontId="3" fillId="0" borderId="0" xfId="0" applyFont="1"/>
    <xf numFmtId="32" fontId="0" fillId="0" borderId="0" xfId="0" applyNumberFormat="1"/>
    <xf numFmtId="0" fontId="10" fillId="24" borderId="0" xfId="0" applyFont="1" applyFill="1"/>
    <xf numFmtId="0" fontId="4" fillId="24" borderId="0" xfId="28" applyFill="1" applyAlignment="1" applyProtection="1"/>
    <xf numFmtId="0" fontId="0" fillId="24" borderId="0" xfId="0" applyFill="1" applyAlignment="1">
      <alignment horizontal="center"/>
    </xf>
    <xf numFmtId="9" fontId="6" fillId="0" borderId="0" xfId="0" applyNumberFormat="1" applyFont="1"/>
    <xf numFmtId="180" fontId="8" fillId="0" borderId="0" xfId="0" applyNumberFormat="1" applyFont="1"/>
    <xf numFmtId="0" fontId="0" fillId="0" borderId="0" xfId="0" applyAlignment="1">
      <alignment horizontal="right"/>
    </xf>
    <xf numFmtId="0" fontId="0" fillId="25" borderId="0" xfId="0" applyFill="1"/>
    <xf numFmtId="0" fontId="0" fillId="0" borderId="0" xfId="0" applyProtection="1">
      <protection locked="0"/>
    </xf>
    <xf numFmtId="0" fontId="3" fillId="0" borderId="0" xfId="0" applyFont="1" applyAlignment="1" applyProtection="1">
      <alignment horizontal="distributed"/>
      <protection locked="0"/>
    </xf>
    <xf numFmtId="0" fontId="10" fillId="0" borderId="0" xfId="43" applyFont="1" applyAlignment="1">
      <alignment horizontal="right" vertical="center"/>
    </xf>
    <xf numFmtId="0" fontId="0" fillId="26" borderId="0" xfId="0" applyFill="1"/>
    <xf numFmtId="0" fontId="0" fillId="26" borderId="10" xfId="0" applyFill="1" applyBorder="1"/>
    <xf numFmtId="0" fontId="0" fillId="0" borderId="10" xfId="0" applyBorder="1"/>
    <xf numFmtId="181" fontId="0" fillId="0" borderId="10" xfId="0" applyNumberFormat="1" applyBorder="1"/>
    <xf numFmtId="181" fontId="0" fillId="0" borderId="0" xfId="0" applyNumberFormat="1"/>
    <xf numFmtId="0" fontId="10" fillId="0" borderId="0" xfId="0" applyFont="1" applyAlignment="1" applyProtection="1">
      <alignment horizontal="right" vertical="center"/>
      <protection locked="0"/>
    </xf>
    <xf numFmtId="182" fontId="0" fillId="0" borderId="0" xfId="0" applyNumberFormat="1"/>
    <xf numFmtId="0" fontId="8" fillId="0" borderId="11" xfId="42" applyFont="1" applyBorder="1" applyAlignment="1">
      <alignment vertical="center" wrapText="1"/>
    </xf>
    <xf numFmtId="49" fontId="8" fillId="0" borderId="12" xfId="42" applyNumberFormat="1" applyFont="1" applyBorder="1" applyAlignment="1">
      <alignment vertical="center" shrinkToFit="1"/>
    </xf>
    <xf numFmtId="49" fontId="8" fillId="0" borderId="13" xfId="42" applyNumberFormat="1" applyFont="1" applyBorder="1" applyAlignment="1">
      <alignment vertical="center" shrinkToFit="1"/>
    </xf>
    <xf numFmtId="49" fontId="8" fillId="0" borderId="14" xfId="42" applyNumberFormat="1" applyFont="1" applyBorder="1" applyAlignment="1">
      <alignment vertical="center" wrapText="1"/>
    </xf>
    <xf numFmtId="183" fontId="0" fillId="0" borderId="0" xfId="0" applyNumberFormat="1"/>
    <xf numFmtId="0" fontId="0" fillId="0" borderId="0" xfId="0" applyAlignment="1">
      <alignment wrapText="1"/>
    </xf>
    <xf numFmtId="184" fontId="0" fillId="0" borderId="0" xfId="0" applyNumberFormat="1"/>
    <xf numFmtId="0" fontId="8" fillId="0" borderId="15" xfId="42" applyFont="1" applyBorder="1" applyAlignment="1">
      <alignment horizontal="center" vertical="center" wrapText="1"/>
    </xf>
    <xf numFmtId="0" fontId="8" fillId="0" borderId="16" xfId="42" applyFont="1" applyBorder="1" applyAlignment="1">
      <alignment horizontal="center" vertical="center" wrapText="1"/>
    </xf>
    <xf numFmtId="0" fontId="8" fillId="0" borderId="17" xfId="42" applyFont="1" applyBorder="1" applyAlignment="1">
      <alignment horizontal="center" vertical="center" wrapText="1"/>
    </xf>
    <xf numFmtId="0" fontId="0" fillId="0" borderId="18" xfId="0" applyBorder="1"/>
    <xf numFmtId="0" fontId="0" fillId="0" borderId="16" xfId="0" applyBorder="1" applyAlignment="1">
      <alignment wrapText="1"/>
    </xf>
    <xf numFmtId="0" fontId="0" fillId="0" borderId="19" xfId="0" applyBorder="1" applyAlignment="1">
      <alignment wrapText="1"/>
    </xf>
    <xf numFmtId="0" fontId="0" fillId="0" borderId="20" xfId="0" applyBorder="1" applyAlignment="1">
      <alignment wrapText="1"/>
    </xf>
    <xf numFmtId="0" fontId="0" fillId="0" borderId="18" xfId="0" applyBorder="1" applyAlignment="1">
      <alignment wrapText="1"/>
    </xf>
    <xf numFmtId="0" fontId="0" fillId="0" borderId="21" xfId="0" applyBorder="1" applyAlignment="1">
      <alignment wrapText="1"/>
    </xf>
    <xf numFmtId="20" fontId="0" fillId="0" borderId="21" xfId="0" applyNumberFormat="1" applyBorder="1" applyAlignment="1">
      <alignment horizontal="left"/>
    </xf>
    <xf numFmtId="0" fontId="0" fillId="26" borderId="10" xfId="0" applyFill="1" applyBorder="1" applyAlignment="1">
      <alignment wrapText="1"/>
    </xf>
    <xf numFmtId="0" fontId="8" fillId="0" borderId="19" xfId="42" applyFont="1" applyBorder="1" applyAlignment="1">
      <alignment horizontal="center" vertical="center" wrapText="1"/>
    </xf>
    <xf numFmtId="0" fontId="8" fillId="0" borderId="22" xfId="42" applyFont="1" applyBorder="1" applyAlignment="1">
      <alignment vertical="center" wrapText="1"/>
    </xf>
    <xf numFmtId="49" fontId="8" fillId="0" borderId="23" xfId="42" applyNumberFormat="1" applyFont="1" applyBorder="1" applyAlignment="1">
      <alignment vertical="center" wrapText="1" shrinkToFit="1"/>
    </xf>
    <xf numFmtId="49" fontId="8" fillId="0" borderId="24" xfId="42" applyNumberFormat="1" applyFont="1" applyBorder="1" applyAlignment="1">
      <alignment vertical="center" wrapText="1" shrinkToFit="1"/>
    </xf>
    <xf numFmtId="49" fontId="8" fillId="0" borderId="23" xfId="42" applyNumberFormat="1" applyFont="1" applyBorder="1" applyAlignment="1">
      <alignment vertical="center" wrapText="1"/>
    </xf>
    <xf numFmtId="49" fontId="8" fillId="0" borderId="24" xfId="42" applyNumberFormat="1" applyFont="1" applyBorder="1" applyAlignment="1">
      <alignment vertical="center" wrapText="1"/>
    </xf>
    <xf numFmtId="18" fontId="0" fillId="0" borderId="0" xfId="0" applyNumberFormat="1"/>
    <xf numFmtId="180" fontId="0" fillId="0" borderId="0" xfId="0" applyNumberFormat="1"/>
    <xf numFmtId="20" fontId="0" fillId="0" borderId="19" xfId="0" applyNumberFormat="1" applyBorder="1" applyAlignment="1">
      <alignment horizontal="left" wrapText="1"/>
    </xf>
    <xf numFmtId="20" fontId="0" fillId="0" borderId="18" xfId="0" applyNumberFormat="1" applyBorder="1" applyAlignment="1">
      <alignment horizontal="left"/>
    </xf>
    <xf numFmtId="20" fontId="0" fillId="0" borderId="16" xfId="0" applyNumberFormat="1" applyBorder="1" applyAlignment="1">
      <alignment horizontal="left"/>
    </xf>
    <xf numFmtId="0" fontId="0" fillId="0" borderId="19" xfId="0" applyBorder="1" applyAlignment="1">
      <alignment horizontal="right" wrapText="1"/>
    </xf>
    <xf numFmtId="180" fontId="0" fillId="0" borderId="20" xfId="0" applyNumberFormat="1" applyBorder="1" applyAlignment="1">
      <alignment horizontal="left"/>
    </xf>
    <xf numFmtId="0" fontId="8" fillId="0" borderId="25" xfId="42" applyFont="1" applyBorder="1" applyAlignment="1">
      <alignment horizontal="center" vertical="center" wrapText="1"/>
    </xf>
    <xf numFmtId="0" fontId="9" fillId="0" borderId="0" xfId="0" applyFont="1" applyAlignment="1">
      <alignment horizontal="center" vertical="center"/>
    </xf>
    <xf numFmtId="176" fontId="0" fillId="0" borderId="0" xfId="0" applyNumberFormat="1"/>
    <xf numFmtId="180" fontId="0" fillId="0" borderId="10" xfId="0" applyNumberFormat="1" applyBorder="1"/>
    <xf numFmtId="0" fontId="10" fillId="0" borderId="0" xfId="0" applyFont="1"/>
    <xf numFmtId="0" fontId="8" fillId="0" borderId="0" xfId="42" applyFont="1">
      <alignment vertical="center"/>
    </xf>
    <xf numFmtId="0" fontId="8" fillId="0" borderId="0" xfId="42" applyFont="1" applyAlignment="1">
      <alignment horizontal="center" vertical="center"/>
    </xf>
    <xf numFmtId="0" fontId="8" fillId="0" borderId="10" xfId="42" applyFont="1" applyBorder="1">
      <alignment vertical="center"/>
    </xf>
    <xf numFmtId="180" fontId="8" fillId="0" borderId="0" xfId="42" applyNumberFormat="1" applyFont="1" applyAlignment="1">
      <alignment horizontal="center" vertical="center"/>
    </xf>
    <xf numFmtId="0" fontId="29" fillId="26" borderId="23" xfId="0" applyFont="1" applyFill="1" applyBorder="1" applyAlignment="1">
      <alignment horizontal="center" vertical="center"/>
    </xf>
    <xf numFmtId="0" fontId="29" fillId="0" borderId="23" xfId="0" applyFont="1" applyBorder="1" applyAlignment="1">
      <alignment horizontal="center" vertical="center" wrapText="1"/>
    </xf>
    <xf numFmtId="0" fontId="30" fillId="26" borderId="10" xfId="0" applyFont="1" applyFill="1" applyBorder="1" applyAlignment="1">
      <alignment horizontal="distributed" vertical="center" wrapText="1"/>
    </xf>
    <xf numFmtId="0" fontId="29" fillId="26" borderId="0" xfId="0" applyFont="1" applyFill="1"/>
    <xf numFmtId="0" fontId="29" fillId="0" borderId="0" xfId="0" applyFont="1"/>
    <xf numFmtId="177" fontId="31" fillId="0" borderId="0" xfId="0" applyNumberFormat="1" applyFont="1" applyAlignment="1" applyProtection="1">
      <alignment horizontal="center"/>
      <protection locked="0"/>
    </xf>
    <xf numFmtId="177" fontId="31" fillId="0" borderId="0" xfId="0" applyNumberFormat="1" applyFont="1" applyAlignment="1">
      <alignment horizontal="center"/>
    </xf>
    <xf numFmtId="177" fontId="31" fillId="26" borderId="0" xfId="0" applyNumberFormat="1" applyFont="1" applyFill="1" applyAlignment="1" applyProtection="1">
      <alignment horizontal="center"/>
      <protection locked="0"/>
    </xf>
    <xf numFmtId="177" fontId="31" fillId="26" borderId="0" xfId="0" applyNumberFormat="1" applyFont="1" applyFill="1" applyAlignment="1">
      <alignment horizontal="center"/>
    </xf>
    <xf numFmtId="177" fontId="31" fillId="27" borderId="0" xfId="0" applyNumberFormat="1" applyFont="1" applyFill="1" applyAlignment="1" applyProtection="1">
      <alignment horizontal="center"/>
      <protection locked="0"/>
    </xf>
    <xf numFmtId="177" fontId="31" fillId="27" borderId="0" xfId="0" applyNumberFormat="1" applyFont="1" applyFill="1" applyAlignment="1">
      <alignment horizontal="center"/>
    </xf>
    <xf numFmtId="0" fontId="29" fillId="0" borderId="21" xfId="0" applyFont="1" applyBorder="1" applyProtection="1">
      <protection locked="0"/>
    </xf>
    <xf numFmtId="56" fontId="29" fillId="26" borderId="26" xfId="0" applyNumberFormat="1" applyFont="1" applyFill="1" applyBorder="1" applyAlignment="1">
      <alignment horizontal="center"/>
    </xf>
    <xf numFmtId="178" fontId="29" fillId="26" borderId="27" xfId="0" applyNumberFormat="1" applyFont="1" applyFill="1" applyBorder="1" applyAlignment="1">
      <alignment horizontal="center"/>
    </xf>
    <xf numFmtId="49" fontId="29" fillId="0" borderId="27" xfId="0" applyNumberFormat="1" applyFont="1" applyBorder="1" applyAlignment="1" applyProtection="1">
      <alignment horizontal="center"/>
      <protection locked="0"/>
    </xf>
    <xf numFmtId="0" fontId="9" fillId="0" borderId="0" xfId="0" applyFont="1" applyAlignment="1">
      <alignment horizontal="left" vertical="center"/>
    </xf>
    <xf numFmtId="0" fontId="29" fillId="0" borderId="0" xfId="0" applyFont="1" applyProtection="1">
      <protection locked="0"/>
    </xf>
    <xf numFmtId="0" fontId="32" fillId="0" borderId="0" xfId="0" applyFont="1"/>
    <xf numFmtId="0" fontId="33" fillId="0" borderId="0" xfId="0" applyFont="1" applyAlignment="1">
      <alignment horizontal="center"/>
    </xf>
    <xf numFmtId="177" fontId="1" fillId="0" borderId="28" xfId="0" quotePrefix="1" applyNumberFormat="1" applyFont="1" applyBorder="1" applyAlignment="1" applyProtection="1">
      <alignment horizontal="center"/>
      <protection locked="0"/>
    </xf>
    <xf numFmtId="0" fontId="1" fillId="0" borderId="29" xfId="0" applyFont="1" applyBorder="1" applyAlignment="1">
      <alignment horizontal="center"/>
    </xf>
    <xf numFmtId="177" fontId="1" fillId="0" borderId="30" xfId="0" quotePrefix="1" applyNumberFormat="1" applyFont="1" applyBorder="1" applyAlignment="1" applyProtection="1">
      <alignment horizontal="center"/>
      <protection locked="0"/>
    </xf>
    <xf numFmtId="177" fontId="1" fillId="0" borderId="31" xfId="0" quotePrefix="1" applyNumberFormat="1" applyFont="1" applyBorder="1" applyAlignment="1" applyProtection="1">
      <alignment horizontal="center"/>
      <protection locked="0"/>
    </xf>
    <xf numFmtId="177" fontId="1" fillId="0" borderId="32" xfId="0" quotePrefix="1" applyNumberFormat="1" applyFont="1" applyBorder="1" applyAlignment="1" applyProtection="1">
      <alignment horizontal="center"/>
      <protection locked="0"/>
    </xf>
    <xf numFmtId="0" fontId="1" fillId="26" borderId="29" xfId="0" applyFont="1" applyFill="1" applyBorder="1" applyAlignment="1">
      <alignment horizontal="center"/>
    </xf>
    <xf numFmtId="177" fontId="1" fillId="0" borderId="33" xfId="0" quotePrefix="1" applyNumberFormat="1" applyFont="1" applyBorder="1" applyAlignment="1" applyProtection="1">
      <alignment horizontal="center"/>
      <protection locked="0"/>
    </xf>
    <xf numFmtId="0" fontId="1" fillId="0" borderId="34" xfId="0" applyFont="1" applyBorder="1" applyAlignment="1">
      <alignment horizontal="center"/>
    </xf>
    <xf numFmtId="177" fontId="1" fillId="0" borderId="35" xfId="0" quotePrefix="1" applyNumberFormat="1" applyFont="1" applyBorder="1" applyAlignment="1" applyProtection="1">
      <alignment horizontal="center"/>
      <protection locked="0"/>
    </xf>
    <xf numFmtId="177" fontId="1" fillId="0" borderId="36" xfId="0" quotePrefix="1" applyNumberFormat="1" applyFont="1" applyBorder="1" applyAlignment="1" applyProtection="1">
      <alignment horizontal="center"/>
      <protection locked="0"/>
    </xf>
    <xf numFmtId="177" fontId="1" fillId="0" borderId="37" xfId="0" quotePrefix="1" applyNumberFormat="1" applyFont="1" applyBorder="1" applyAlignment="1" applyProtection="1">
      <alignment horizontal="center"/>
      <protection locked="0"/>
    </xf>
    <xf numFmtId="0" fontId="1" fillId="26" borderId="34" xfId="0" applyFont="1" applyFill="1" applyBorder="1" applyAlignment="1">
      <alignment horizontal="center"/>
    </xf>
    <xf numFmtId="177" fontId="1" fillId="0" borderId="38" xfId="0" quotePrefix="1" applyNumberFormat="1" applyFont="1" applyBorder="1" applyAlignment="1" applyProtection="1">
      <alignment horizontal="center"/>
      <protection locked="0"/>
    </xf>
    <xf numFmtId="0" fontId="1" fillId="0" borderId="39" xfId="0" applyFont="1" applyBorder="1" applyAlignment="1">
      <alignment horizontal="center"/>
    </xf>
    <xf numFmtId="177" fontId="1" fillId="0" borderId="40" xfId="0" quotePrefix="1" applyNumberFormat="1" applyFont="1" applyBorder="1" applyAlignment="1" applyProtection="1">
      <alignment horizontal="center"/>
      <protection locked="0"/>
    </xf>
    <xf numFmtId="177" fontId="1" fillId="0" borderId="41" xfId="0" quotePrefix="1" applyNumberFormat="1" applyFont="1" applyBorder="1" applyAlignment="1" applyProtection="1">
      <alignment horizontal="center"/>
      <protection locked="0"/>
    </xf>
    <xf numFmtId="177" fontId="1" fillId="0" borderId="42" xfId="0" quotePrefix="1" applyNumberFormat="1" applyFont="1" applyBorder="1" applyAlignment="1" applyProtection="1">
      <alignment horizontal="center"/>
      <protection locked="0"/>
    </xf>
    <xf numFmtId="0" fontId="1" fillId="26" borderId="39" xfId="0" applyFont="1" applyFill="1" applyBorder="1" applyAlignment="1">
      <alignment horizontal="center"/>
    </xf>
    <xf numFmtId="20" fontId="29" fillId="0" borderId="43" xfId="42" applyNumberFormat="1" applyFont="1" applyBorder="1" applyAlignment="1">
      <alignment horizontal="center" vertical="center"/>
    </xf>
    <xf numFmtId="20" fontId="29" fillId="0" borderId="33" xfId="42" applyNumberFormat="1" applyFont="1" applyBorder="1" applyAlignment="1">
      <alignment horizontal="center" vertical="center"/>
    </xf>
    <xf numFmtId="20" fontId="29" fillId="0" borderId="28" xfId="42" applyNumberFormat="1" applyFont="1" applyBorder="1" applyAlignment="1">
      <alignment horizontal="center" vertical="center"/>
    </xf>
    <xf numFmtId="0" fontId="35" fillId="0" borderId="26" xfId="42" applyFont="1" applyBorder="1" applyAlignment="1">
      <alignment vertical="top" wrapText="1"/>
    </xf>
    <xf numFmtId="0" fontId="1" fillId="0" borderId="0" xfId="42">
      <alignment vertical="center"/>
    </xf>
    <xf numFmtId="0" fontId="35" fillId="0" borderId="44" xfId="42" applyFont="1" applyBorder="1" applyAlignment="1">
      <alignment vertical="top" wrapText="1"/>
    </xf>
    <xf numFmtId="0" fontId="36" fillId="0" borderId="0" xfId="42" applyFont="1">
      <alignment vertical="center"/>
    </xf>
    <xf numFmtId="0" fontId="35" fillId="0" borderId="26" xfId="42" applyFont="1" applyBorder="1" applyAlignment="1">
      <alignment horizontal="center" vertical="top" wrapText="1"/>
    </xf>
    <xf numFmtId="0" fontId="29" fillId="0" borderId="45" xfId="42" applyFont="1" applyBorder="1" applyAlignment="1">
      <alignment horizontal="center" vertical="center" wrapText="1"/>
    </xf>
    <xf numFmtId="49" fontId="29" fillId="0" borderId="13" xfId="0" applyNumberFormat="1" applyFont="1" applyBorder="1" applyAlignment="1" applyProtection="1">
      <alignment horizontal="center"/>
      <protection locked="0"/>
    </xf>
    <xf numFmtId="49" fontId="29" fillId="0" borderId="28" xfId="0" applyNumberFormat="1" applyFont="1" applyBorder="1" applyProtection="1">
      <protection locked="0"/>
    </xf>
    <xf numFmtId="49" fontId="29" fillId="0" borderId="33" xfId="0" applyNumberFormat="1" applyFont="1" applyBorder="1" applyProtection="1">
      <protection locked="0"/>
    </xf>
    <xf numFmtId="49" fontId="29" fillId="0" borderId="38" xfId="0" applyNumberFormat="1" applyFont="1" applyBorder="1" applyProtection="1">
      <protection locked="0"/>
    </xf>
    <xf numFmtId="0" fontId="27" fillId="0" borderId="0" xfId="42" applyFont="1" applyAlignment="1">
      <alignment vertical="center" wrapText="1"/>
    </xf>
    <xf numFmtId="0" fontId="35" fillId="0" borderId="0" xfId="42" applyFont="1" applyAlignment="1">
      <alignment horizontal="center" vertical="top" wrapText="1"/>
    </xf>
    <xf numFmtId="46" fontId="8" fillId="0" borderId="0" xfId="42" applyNumberFormat="1" applyFont="1" applyAlignment="1">
      <alignment horizontal="center" vertical="center"/>
    </xf>
    <xf numFmtId="9" fontId="6" fillId="0" borderId="32" xfId="0" applyNumberFormat="1" applyFont="1" applyBorder="1" applyProtection="1">
      <protection locked="0"/>
    </xf>
    <xf numFmtId="180" fontId="8" fillId="0" borderId="37" xfId="0" applyNumberFormat="1" applyFont="1" applyBorder="1" applyProtection="1">
      <protection locked="0"/>
    </xf>
    <xf numFmtId="180" fontId="8" fillId="0" borderId="42" xfId="0" applyNumberFormat="1" applyFont="1" applyBorder="1" applyProtection="1">
      <protection locked="0"/>
    </xf>
    <xf numFmtId="0" fontId="1" fillId="27" borderId="29" xfId="0" applyFont="1" applyFill="1" applyBorder="1" applyAlignment="1">
      <alignment horizontal="center"/>
    </xf>
    <xf numFmtId="0" fontId="1" fillId="27" borderId="34" xfId="0" applyFont="1" applyFill="1" applyBorder="1" applyAlignment="1">
      <alignment horizontal="center"/>
    </xf>
    <xf numFmtId="0" fontId="1" fillId="27" borderId="39" xfId="0" applyFont="1" applyFill="1" applyBorder="1" applyAlignment="1">
      <alignment horizontal="center"/>
    </xf>
    <xf numFmtId="177" fontId="1" fillId="26" borderId="28" xfId="0" quotePrefix="1" applyNumberFormat="1" applyFont="1" applyFill="1" applyBorder="1" applyAlignment="1">
      <alignment horizontal="center"/>
    </xf>
    <xf numFmtId="177" fontId="1" fillId="26" borderId="30" xfId="0" quotePrefix="1" applyNumberFormat="1" applyFont="1" applyFill="1" applyBorder="1" applyAlignment="1">
      <alignment horizontal="center"/>
    </xf>
    <xf numFmtId="177" fontId="1" fillId="26" borderId="31" xfId="0" quotePrefix="1" applyNumberFormat="1" applyFont="1" applyFill="1" applyBorder="1" applyAlignment="1">
      <alignment horizontal="center"/>
    </xf>
    <xf numFmtId="177" fontId="1" fillId="26" borderId="32" xfId="0" quotePrefix="1" applyNumberFormat="1" applyFont="1" applyFill="1" applyBorder="1" applyAlignment="1">
      <alignment horizontal="center"/>
    </xf>
    <xf numFmtId="177" fontId="1" fillId="27" borderId="33" xfId="0" quotePrefix="1" applyNumberFormat="1" applyFont="1" applyFill="1" applyBorder="1" applyAlignment="1">
      <alignment horizontal="center"/>
    </xf>
    <xf numFmtId="177" fontId="1" fillId="27" borderId="32" xfId="0" quotePrefix="1" applyNumberFormat="1" applyFont="1" applyFill="1" applyBorder="1" applyAlignment="1">
      <alignment horizontal="center"/>
    </xf>
    <xf numFmtId="177" fontId="1" fillId="27" borderId="28" xfId="0" quotePrefix="1" applyNumberFormat="1" applyFont="1" applyFill="1" applyBorder="1" applyAlignment="1">
      <alignment horizontal="center"/>
    </xf>
    <xf numFmtId="177" fontId="1" fillId="26" borderId="33" xfId="0" quotePrefix="1" applyNumberFormat="1" applyFont="1" applyFill="1" applyBorder="1" applyAlignment="1">
      <alignment horizontal="center"/>
    </xf>
    <xf numFmtId="177" fontId="1" fillId="26" borderId="35" xfId="0" quotePrefix="1" applyNumberFormat="1" applyFont="1" applyFill="1" applyBorder="1" applyAlignment="1">
      <alignment horizontal="center"/>
    </xf>
    <xf numFmtId="177" fontId="1" fillId="26" borderId="36" xfId="0" quotePrefix="1" applyNumberFormat="1" applyFont="1" applyFill="1" applyBorder="1" applyAlignment="1">
      <alignment horizontal="center"/>
    </xf>
    <xf numFmtId="177" fontId="1" fillId="26" borderId="37" xfId="0" quotePrefix="1" applyNumberFormat="1" applyFont="1" applyFill="1" applyBorder="1" applyAlignment="1">
      <alignment horizontal="center"/>
    </xf>
    <xf numFmtId="177" fontId="1" fillId="27" borderId="37" xfId="0" quotePrefix="1" applyNumberFormat="1" applyFont="1" applyFill="1" applyBorder="1" applyAlignment="1">
      <alignment horizontal="center"/>
    </xf>
    <xf numFmtId="177" fontId="1" fillId="26" borderId="38" xfId="0" quotePrefix="1" applyNumberFormat="1" applyFont="1" applyFill="1" applyBorder="1" applyAlignment="1">
      <alignment horizontal="center"/>
    </xf>
    <xf numFmtId="177" fontId="1" fillId="26" borderId="40" xfId="0" quotePrefix="1" applyNumberFormat="1" applyFont="1" applyFill="1" applyBorder="1" applyAlignment="1">
      <alignment horizontal="center"/>
    </xf>
    <xf numFmtId="177" fontId="1" fillId="26" borderId="41" xfId="0" quotePrefix="1" applyNumberFormat="1" applyFont="1" applyFill="1" applyBorder="1" applyAlignment="1">
      <alignment horizontal="center"/>
    </xf>
    <xf numFmtId="177" fontId="1" fillId="26" borderId="42" xfId="0" quotePrefix="1" applyNumberFormat="1" applyFont="1" applyFill="1" applyBorder="1" applyAlignment="1">
      <alignment horizontal="center"/>
    </xf>
    <xf numFmtId="177" fontId="1" fillId="27" borderId="38" xfId="0" quotePrefix="1" applyNumberFormat="1" applyFont="1" applyFill="1" applyBorder="1" applyAlignment="1">
      <alignment horizontal="center"/>
    </xf>
    <xf numFmtId="177" fontId="1" fillId="27" borderId="42" xfId="0" quotePrefix="1" applyNumberFormat="1" applyFont="1" applyFill="1" applyBorder="1" applyAlignment="1">
      <alignment horizontal="center"/>
    </xf>
    <xf numFmtId="0" fontId="8" fillId="0" borderId="46" xfId="42" applyFont="1" applyBorder="1">
      <alignment vertical="center"/>
    </xf>
    <xf numFmtId="0" fontId="8" fillId="0" borderId="23" xfId="42" applyFont="1" applyBorder="1">
      <alignment vertical="center"/>
    </xf>
    <xf numFmtId="0" fontId="38" fillId="0" borderId="0" xfId="0" applyFont="1"/>
    <xf numFmtId="0" fontId="34" fillId="0" borderId="0" xfId="0" applyFont="1" applyAlignment="1" applyProtection="1">
      <alignment horizontal="right" vertical="center"/>
      <protection locked="0"/>
    </xf>
    <xf numFmtId="0" fontId="38" fillId="0" borderId="0" xfId="42" applyFont="1">
      <alignment vertical="center"/>
    </xf>
    <xf numFmtId="0" fontId="8" fillId="0" borderId="19" xfId="42" applyFont="1" applyBorder="1">
      <alignment vertical="center"/>
    </xf>
    <xf numFmtId="0" fontId="41" fillId="0" borderId="0" xfId="42" applyFont="1">
      <alignment vertical="center"/>
    </xf>
    <xf numFmtId="0" fontId="45" fillId="0" borderId="0" xfId="0" applyFont="1" applyAlignment="1">
      <alignment horizontal="left"/>
    </xf>
    <xf numFmtId="49" fontId="0" fillId="0" borderId="0" xfId="0" applyNumberFormat="1"/>
    <xf numFmtId="49" fontId="0" fillId="0" borderId="0" xfId="0" applyNumberFormat="1" applyAlignment="1">
      <alignment horizontal="left"/>
    </xf>
    <xf numFmtId="0" fontId="8" fillId="0" borderId="0" xfId="42" applyFont="1" applyAlignment="1">
      <alignment vertical="center" wrapText="1"/>
    </xf>
    <xf numFmtId="0" fontId="37" fillId="0" borderId="19" xfId="42" applyFont="1" applyBorder="1" applyAlignment="1">
      <alignment horizontal="center" vertical="center"/>
    </xf>
    <xf numFmtId="0" fontId="8" fillId="0" borderId="47" xfId="42" applyFont="1" applyBorder="1">
      <alignment vertical="center"/>
    </xf>
    <xf numFmtId="0" fontId="46" fillId="0" borderId="26" xfId="42" applyFont="1" applyBorder="1" applyAlignment="1">
      <alignment vertical="top" wrapText="1"/>
    </xf>
    <xf numFmtId="0" fontId="43" fillId="0" borderId="0" xfId="0" applyFont="1" applyAlignment="1">
      <alignment horizontal="center"/>
    </xf>
    <xf numFmtId="0" fontId="29" fillId="27" borderId="26" xfId="0" applyFont="1" applyFill="1" applyBorder="1" applyAlignment="1">
      <alignment horizontal="center"/>
    </xf>
    <xf numFmtId="178" fontId="37" fillId="26" borderId="27" xfId="0" applyNumberFormat="1" applyFont="1" applyFill="1" applyBorder="1" applyAlignment="1">
      <alignment horizontal="center"/>
    </xf>
    <xf numFmtId="186" fontId="37" fillId="0" borderId="33" xfId="42" applyNumberFormat="1" applyFont="1" applyBorder="1" applyAlignment="1" applyProtection="1">
      <alignment horizontal="center" vertical="center" wrapText="1"/>
      <protection locked="0"/>
    </xf>
    <xf numFmtId="186" fontId="37" fillId="0" borderId="37" xfId="42" applyNumberFormat="1" applyFont="1" applyBorder="1" applyAlignment="1" applyProtection="1">
      <alignment horizontal="center" vertical="center" wrapText="1"/>
      <protection locked="0"/>
    </xf>
    <xf numFmtId="186" fontId="37" fillId="0" borderId="38" xfId="42" applyNumberFormat="1" applyFont="1" applyBorder="1" applyAlignment="1" applyProtection="1">
      <alignment horizontal="center" vertical="center" wrapText="1"/>
      <protection locked="0"/>
    </xf>
    <xf numFmtId="186" fontId="37" fillId="0" borderId="42" xfId="42" applyNumberFormat="1" applyFont="1" applyBorder="1" applyAlignment="1" applyProtection="1">
      <alignment horizontal="center" vertical="center" wrapText="1"/>
      <protection locked="0"/>
    </xf>
    <xf numFmtId="186" fontId="37" fillId="0" borderId="43" xfId="42" applyNumberFormat="1" applyFont="1" applyBorder="1" applyAlignment="1" applyProtection="1">
      <alignment horizontal="center" vertical="center" wrapText="1"/>
      <protection locked="0"/>
    </xf>
    <xf numFmtId="186" fontId="37" fillId="0" borderId="48" xfId="42" applyNumberFormat="1" applyFont="1" applyBorder="1" applyAlignment="1" applyProtection="1">
      <alignment horizontal="center" vertical="center" wrapText="1"/>
      <protection locked="0"/>
    </xf>
    <xf numFmtId="186" fontId="37" fillId="0" borderId="49" xfId="42" applyNumberFormat="1" applyFont="1" applyBorder="1" applyAlignment="1" applyProtection="1">
      <alignment horizontal="center" vertical="center" wrapText="1"/>
      <protection locked="0"/>
    </xf>
    <xf numFmtId="186" fontId="37" fillId="0" borderId="50" xfId="42" applyNumberFormat="1" applyFont="1" applyBorder="1" applyAlignment="1" applyProtection="1">
      <alignment horizontal="center" vertical="center" wrapText="1"/>
      <protection locked="0"/>
    </xf>
    <xf numFmtId="186" fontId="37" fillId="0" borderId="28" xfId="42" applyNumberFormat="1" applyFont="1" applyBorder="1" applyAlignment="1" applyProtection="1">
      <alignment horizontal="center" vertical="center" wrapText="1"/>
      <protection locked="0"/>
    </xf>
    <xf numFmtId="186" fontId="37" fillId="0" borderId="32" xfId="42" applyNumberFormat="1" applyFont="1" applyBorder="1" applyAlignment="1" applyProtection="1">
      <alignment horizontal="center" vertical="center" wrapText="1"/>
      <protection locked="0"/>
    </xf>
    <xf numFmtId="0" fontId="47" fillId="0" borderId="15" xfId="42" applyFont="1" applyBorder="1" applyAlignment="1">
      <alignment vertical="top" wrapText="1"/>
    </xf>
    <xf numFmtId="0" fontId="47" fillId="0" borderId="51" xfId="42" applyFont="1" applyBorder="1" applyAlignment="1">
      <alignment vertical="top" wrapText="1"/>
    </xf>
    <xf numFmtId="0" fontId="47" fillId="0" borderId="44" xfId="42" applyFont="1" applyBorder="1" applyAlignment="1">
      <alignment vertical="top" wrapText="1"/>
    </xf>
    <xf numFmtId="0" fontId="47" fillId="0" borderId="26" xfId="42" applyFont="1" applyBorder="1" applyAlignment="1">
      <alignment vertical="top" wrapText="1"/>
    </xf>
    <xf numFmtId="0" fontId="47" fillId="0" borderId="52" xfId="42" applyFont="1" applyBorder="1" applyAlignment="1">
      <alignment vertical="top" wrapText="1"/>
    </xf>
    <xf numFmtId="0" fontId="1" fillId="0" borderId="11" xfId="42" applyBorder="1" applyAlignment="1">
      <alignment vertical="center" wrapText="1"/>
    </xf>
    <xf numFmtId="49" fontId="1" fillId="0" borderId="12" xfId="42" applyNumberFormat="1" applyBorder="1" applyAlignment="1">
      <alignment horizontal="center" vertical="center" shrinkToFit="1"/>
    </xf>
    <xf numFmtId="0" fontId="1" fillId="0" borderId="17" xfId="42" applyBorder="1" applyAlignment="1">
      <alignment horizontal="center" vertical="center" wrapText="1"/>
    </xf>
    <xf numFmtId="49" fontId="1" fillId="0" borderId="13" xfId="42" applyNumberFormat="1" applyBorder="1" applyAlignment="1">
      <alignment horizontal="center" vertical="center" shrinkToFit="1"/>
    </xf>
    <xf numFmtId="49" fontId="1" fillId="0" borderId="14" xfId="42" applyNumberFormat="1" applyBorder="1" applyAlignment="1">
      <alignment horizontal="center" vertical="center" wrapText="1"/>
    </xf>
    <xf numFmtId="20" fontId="38" fillId="0" borderId="53" xfId="42" applyNumberFormat="1" applyFont="1" applyBorder="1" applyAlignment="1">
      <alignment horizontal="center" vertical="center"/>
    </xf>
    <xf numFmtId="20" fontId="38" fillId="0" borderId="54" xfId="42" applyNumberFormat="1" applyFont="1" applyBorder="1" applyAlignment="1">
      <alignment horizontal="center" vertical="center"/>
    </xf>
    <xf numFmtId="20" fontId="38" fillId="0" borderId="55" xfId="42" applyNumberFormat="1" applyFont="1" applyBorder="1" applyAlignment="1">
      <alignment horizontal="center" vertical="center"/>
    </xf>
    <xf numFmtId="20" fontId="38" fillId="0" borderId="56" xfId="42" applyNumberFormat="1" applyFont="1" applyBorder="1" applyAlignment="1">
      <alignment horizontal="center" vertical="center"/>
    </xf>
    <xf numFmtId="20" fontId="38" fillId="0" borderId="57" xfId="42" applyNumberFormat="1" applyFont="1" applyBorder="1" applyAlignment="1">
      <alignment horizontal="center" vertical="center"/>
    </xf>
    <xf numFmtId="20" fontId="38" fillId="0" borderId="58" xfId="42" applyNumberFormat="1" applyFont="1" applyBorder="1" applyAlignment="1">
      <alignment horizontal="center" vertical="center"/>
    </xf>
    <xf numFmtId="20" fontId="38" fillId="0" borderId="59" xfId="42" applyNumberFormat="1" applyFont="1" applyBorder="1" applyAlignment="1">
      <alignment horizontal="center" vertical="center"/>
    </xf>
    <xf numFmtId="20" fontId="38" fillId="0" borderId="60" xfId="42" applyNumberFormat="1" applyFont="1" applyBorder="1" applyAlignment="1">
      <alignment horizontal="center" vertical="center"/>
    </xf>
    <xf numFmtId="20" fontId="38" fillId="0" borderId="61" xfId="42" applyNumberFormat="1" applyFont="1" applyBorder="1" applyAlignment="1">
      <alignment horizontal="center" vertical="center"/>
    </xf>
    <xf numFmtId="180" fontId="41" fillId="0" borderId="23" xfId="42" applyNumberFormat="1" applyFont="1" applyBorder="1" applyAlignment="1">
      <alignment horizontal="center" vertical="center"/>
    </xf>
    <xf numFmtId="180" fontId="41" fillId="0" borderId="62" xfId="42" applyNumberFormat="1" applyFont="1" applyBorder="1" applyAlignment="1">
      <alignment horizontal="center" vertical="center"/>
    </xf>
    <xf numFmtId="180" fontId="41" fillId="0" borderId="63" xfId="42" applyNumberFormat="1" applyFont="1" applyBorder="1" applyAlignment="1">
      <alignment horizontal="center" vertical="center"/>
    </xf>
    <xf numFmtId="180" fontId="41" fillId="0" borderId="64" xfId="42" applyNumberFormat="1" applyFont="1" applyBorder="1" applyAlignment="1">
      <alignment horizontal="center" vertical="center"/>
    </xf>
    <xf numFmtId="0" fontId="48" fillId="0" borderId="0" xfId="0" applyFont="1" applyAlignment="1">
      <alignment horizontal="right"/>
    </xf>
    <xf numFmtId="0" fontId="39" fillId="0" borderId="0" xfId="0" applyFont="1" applyAlignment="1">
      <alignment horizontal="right"/>
    </xf>
    <xf numFmtId="0" fontId="48" fillId="0" borderId="0" xfId="0" applyFont="1" applyAlignment="1">
      <alignment horizontal="left"/>
    </xf>
    <xf numFmtId="180" fontId="49" fillId="0" borderId="65" xfId="42" applyNumberFormat="1" applyFont="1" applyBorder="1" applyAlignment="1">
      <alignment horizontal="center" vertical="center"/>
    </xf>
    <xf numFmtId="180" fontId="49" fillId="0" borderId="66" xfId="42" applyNumberFormat="1" applyFont="1" applyBorder="1" applyAlignment="1">
      <alignment horizontal="center" vertical="center"/>
    </xf>
    <xf numFmtId="0" fontId="40" fillId="0" borderId="45" xfId="42" applyFont="1" applyBorder="1" applyAlignment="1">
      <alignment horizontal="center" vertical="center" wrapText="1"/>
    </xf>
    <xf numFmtId="49" fontId="29" fillId="0" borderId="10" xfId="42" applyNumberFormat="1" applyFont="1" applyBorder="1" applyAlignment="1">
      <alignment horizontal="center" vertical="center"/>
    </xf>
    <xf numFmtId="49" fontId="29" fillId="0" borderId="46" xfId="42" applyNumberFormat="1" applyFont="1" applyBorder="1" applyAlignment="1">
      <alignment horizontal="center" vertical="center"/>
    </xf>
    <xf numFmtId="180" fontId="38" fillId="0" borderId="13" xfId="42" applyNumberFormat="1" applyFont="1" applyBorder="1" applyAlignment="1">
      <alignment horizontal="center" vertical="center"/>
    </xf>
    <xf numFmtId="46" fontId="38" fillId="0" borderId="13" xfId="42" applyNumberFormat="1" applyFont="1" applyBorder="1" applyAlignment="1">
      <alignment horizontal="center" vertical="center"/>
    </xf>
    <xf numFmtId="0" fontId="1" fillId="0" borderId="10" xfId="42" applyBorder="1" applyAlignment="1">
      <alignment vertical="center" wrapText="1"/>
    </xf>
    <xf numFmtId="0" fontId="41" fillId="0" borderId="19" xfId="42" applyFont="1" applyBorder="1">
      <alignment vertical="center"/>
    </xf>
    <xf numFmtId="0" fontId="52" fillId="0" borderId="19" xfId="42" applyFont="1" applyBorder="1" applyAlignment="1" applyProtection="1">
      <alignment horizontal="left" vertical="center"/>
      <protection locked="0"/>
    </xf>
    <xf numFmtId="0" fontId="37" fillId="0" borderId="0" xfId="42" applyFont="1">
      <alignment vertical="center"/>
    </xf>
    <xf numFmtId="49" fontId="41" fillId="0" borderId="0" xfId="42" applyNumberFormat="1" applyFont="1" applyProtection="1">
      <alignment vertical="center"/>
      <protection locked="0"/>
    </xf>
    <xf numFmtId="49" fontId="37" fillId="0" borderId="33" xfId="0" applyNumberFormat="1" applyFont="1" applyBorder="1" applyProtection="1">
      <protection locked="0"/>
    </xf>
    <xf numFmtId="0" fontId="37" fillId="0" borderId="48" xfId="42" applyFont="1" applyBorder="1" applyAlignment="1" applyProtection="1">
      <alignment horizontal="left" vertical="center"/>
      <protection locked="0"/>
    </xf>
    <xf numFmtId="49" fontId="37" fillId="0" borderId="48" xfId="42" applyNumberFormat="1" applyFont="1" applyBorder="1" applyAlignment="1" applyProtection="1">
      <alignment horizontal="left" vertical="center"/>
      <protection locked="0"/>
    </xf>
    <xf numFmtId="49" fontId="37" fillId="0" borderId="38" xfId="0" applyNumberFormat="1" applyFont="1" applyBorder="1" applyProtection="1">
      <protection locked="0"/>
    </xf>
    <xf numFmtId="49" fontId="37" fillId="0" borderId="42" xfId="42" applyNumberFormat="1" applyFont="1" applyBorder="1" applyAlignment="1" applyProtection="1">
      <alignment horizontal="left" vertical="center"/>
      <protection locked="0"/>
    </xf>
    <xf numFmtId="49" fontId="37" fillId="0" borderId="43" xfId="0" applyNumberFormat="1" applyFont="1" applyBorder="1" applyProtection="1">
      <protection locked="0"/>
    </xf>
    <xf numFmtId="49" fontId="37" fillId="0" borderId="49" xfId="0" applyNumberFormat="1" applyFont="1" applyBorder="1" applyProtection="1">
      <protection locked="0"/>
    </xf>
    <xf numFmtId="49" fontId="37" fillId="0" borderId="28" xfId="0" applyNumberFormat="1" applyFont="1" applyBorder="1" applyProtection="1">
      <protection locked="0"/>
    </xf>
    <xf numFmtId="0" fontId="1" fillId="27" borderId="13" xfId="0" applyFont="1" applyFill="1" applyBorder="1" applyAlignment="1">
      <alignment horizontal="center"/>
    </xf>
    <xf numFmtId="0" fontId="8" fillId="0" borderId="20" xfId="42" applyFont="1" applyBorder="1" applyAlignment="1" applyProtection="1">
      <alignment horizontal="center" vertical="center" wrapText="1"/>
      <protection locked="0"/>
    </xf>
    <xf numFmtId="0" fontId="0" fillId="24" borderId="10" xfId="0" applyFill="1" applyBorder="1"/>
    <xf numFmtId="0" fontId="0" fillId="0" borderId="10" xfId="0" applyBorder="1" applyAlignment="1">
      <alignment horizontal="center"/>
    </xf>
    <xf numFmtId="0" fontId="41" fillId="0" borderId="10" xfId="42" applyFont="1" applyBorder="1" applyAlignment="1">
      <alignment horizontal="center" vertical="center"/>
    </xf>
    <xf numFmtId="0" fontId="53" fillId="0" borderId="0" xfId="42" applyFont="1" applyAlignment="1">
      <alignment horizontal="center" vertical="center"/>
    </xf>
    <xf numFmtId="0" fontId="5" fillId="0" borderId="0" xfId="42" applyFont="1" applyAlignment="1">
      <alignment horizontal="center" vertical="center"/>
    </xf>
    <xf numFmtId="0" fontId="40" fillId="0" borderId="0" xfId="0" applyFont="1" applyAlignment="1" applyProtection="1">
      <alignment horizontal="right" vertical="center"/>
      <protection locked="0"/>
    </xf>
    <xf numFmtId="0" fontId="9" fillId="0" borderId="0" xfId="42" applyFont="1">
      <alignment vertical="center"/>
    </xf>
    <xf numFmtId="0" fontId="54" fillId="0" borderId="0" xfId="0" applyFont="1"/>
    <xf numFmtId="0" fontId="7" fillId="0" borderId="0" xfId="0" applyFont="1"/>
    <xf numFmtId="49" fontId="41" fillId="0" borderId="0" xfId="42" applyNumberFormat="1" applyFont="1" applyAlignment="1">
      <alignment horizontal="right" vertical="center"/>
    </xf>
    <xf numFmtId="0" fontId="40" fillId="0" borderId="0" xfId="42" applyFont="1" applyProtection="1">
      <alignment vertical="center"/>
      <protection locked="0"/>
    </xf>
    <xf numFmtId="0" fontId="34" fillId="0" borderId="0" xfId="0" applyFont="1" applyAlignment="1">
      <alignment horizontal="center" vertical="center"/>
    </xf>
    <xf numFmtId="0" fontId="43" fillId="0" borderId="0" xfId="0" applyFont="1"/>
    <xf numFmtId="0" fontId="34" fillId="0" borderId="0" xfId="42" applyFont="1" applyAlignment="1">
      <alignment horizontal="center" vertical="center"/>
    </xf>
    <xf numFmtId="0" fontId="43" fillId="0" borderId="0" xfId="0" applyFont="1" applyAlignment="1">
      <alignment horizontal="center" vertical="center"/>
    </xf>
    <xf numFmtId="0" fontId="40" fillId="0" borderId="67" xfId="0" applyFont="1" applyBorder="1" applyAlignment="1" applyProtection="1">
      <alignment horizontal="center" vertical="center"/>
      <protection locked="0"/>
    </xf>
    <xf numFmtId="0" fontId="40" fillId="0" borderId="68" xfId="0" applyFont="1" applyBorder="1" applyAlignment="1" applyProtection="1">
      <alignment horizontal="center" vertical="center"/>
      <protection locked="0"/>
    </xf>
    <xf numFmtId="0" fontId="40" fillId="0" borderId="69" xfId="0" applyFont="1" applyBorder="1" applyAlignment="1">
      <alignment horizontal="center" vertical="center"/>
    </xf>
    <xf numFmtId="187" fontId="56" fillId="0" borderId="0" xfId="0" applyNumberFormat="1" applyFont="1" applyAlignment="1">
      <alignment horizontal="center"/>
    </xf>
    <xf numFmtId="49" fontId="37" fillId="0" borderId="13" xfId="0" applyNumberFormat="1" applyFont="1" applyBorder="1" applyAlignment="1" applyProtection="1">
      <alignment horizontal="center"/>
      <protection locked="0"/>
    </xf>
    <xf numFmtId="187" fontId="56" fillId="0" borderId="26" xfId="0" applyNumberFormat="1" applyFont="1" applyBorder="1" applyAlignment="1">
      <alignment horizontal="center"/>
    </xf>
    <xf numFmtId="0" fontId="8" fillId="0" borderId="23" xfId="42" applyFont="1" applyBorder="1" applyAlignment="1">
      <alignment horizontal="center" vertical="center"/>
    </xf>
    <xf numFmtId="0" fontId="9" fillId="0" borderId="11" xfId="0" applyFont="1" applyBorder="1" applyAlignment="1">
      <alignment horizontal="left" vertical="center"/>
    </xf>
    <xf numFmtId="0" fontId="9" fillId="0" borderId="70" xfId="42" applyFont="1" applyBorder="1">
      <alignment vertical="center"/>
    </xf>
    <xf numFmtId="0" fontId="38" fillId="0" borderId="19" xfId="42" applyFont="1" applyBorder="1">
      <alignment vertical="center"/>
    </xf>
    <xf numFmtId="0" fontId="57" fillId="0" borderId="0" xfId="0" applyFont="1" applyAlignment="1">
      <alignment horizontal="right"/>
    </xf>
    <xf numFmtId="0" fontId="53" fillId="0" borderId="0" xfId="42" applyFont="1">
      <alignment vertical="center"/>
    </xf>
    <xf numFmtId="185" fontId="1" fillId="0" borderId="34" xfId="42" applyNumberFormat="1" applyBorder="1" applyAlignment="1">
      <alignment horizontal="center" vertical="center" wrapText="1"/>
    </xf>
    <xf numFmtId="185" fontId="1" fillId="0" borderId="39" xfId="42" applyNumberFormat="1" applyBorder="1" applyAlignment="1">
      <alignment horizontal="center" vertical="center" wrapText="1"/>
    </xf>
    <xf numFmtId="185" fontId="1" fillId="0" borderId="71" xfId="42" applyNumberFormat="1" applyBorder="1" applyAlignment="1">
      <alignment horizontal="center" vertical="center" wrapText="1"/>
    </xf>
    <xf numFmtId="185" fontId="1" fillId="0" borderId="72" xfId="42" applyNumberFormat="1" applyBorder="1" applyAlignment="1">
      <alignment horizontal="center" vertical="center" wrapText="1"/>
    </xf>
    <xf numFmtId="185" fontId="1" fillId="0" borderId="29" xfId="42" applyNumberFormat="1" applyBorder="1" applyAlignment="1">
      <alignment horizontal="center" vertical="center" wrapText="1"/>
    </xf>
    <xf numFmtId="49" fontId="29" fillId="0" borderId="10" xfId="0" applyNumberFormat="1" applyFont="1" applyBorder="1" applyAlignment="1" applyProtection="1">
      <alignment horizontal="center"/>
      <protection locked="0"/>
    </xf>
    <xf numFmtId="186" fontId="28" fillId="0" borderId="33" xfId="42" applyNumberFormat="1" applyFont="1" applyBorder="1" applyAlignment="1" applyProtection="1">
      <alignment horizontal="center" vertical="center" wrapText="1"/>
      <protection locked="0"/>
    </xf>
    <xf numFmtId="186" fontId="28" fillId="0" borderId="38" xfId="42" applyNumberFormat="1" applyFont="1" applyBorder="1" applyAlignment="1" applyProtection="1">
      <alignment horizontal="center" vertical="center" wrapText="1"/>
      <protection locked="0"/>
    </xf>
    <xf numFmtId="186" fontId="28" fillId="0" borderId="43" xfId="42" applyNumberFormat="1" applyFont="1" applyBorder="1" applyAlignment="1" applyProtection="1">
      <alignment horizontal="center" vertical="center" wrapText="1"/>
      <protection locked="0"/>
    </xf>
    <xf numFmtId="186" fontId="28" fillId="0" borderId="49" xfId="42" applyNumberFormat="1" applyFont="1" applyBorder="1" applyAlignment="1" applyProtection="1">
      <alignment horizontal="center" vertical="center" wrapText="1"/>
      <protection locked="0"/>
    </xf>
    <xf numFmtId="186" fontId="28" fillId="0" borderId="28" xfId="42" applyNumberFormat="1" applyFont="1" applyBorder="1" applyAlignment="1" applyProtection="1">
      <alignment horizontal="center" vertical="center" wrapText="1"/>
      <protection locked="0"/>
    </xf>
    <xf numFmtId="186" fontId="28" fillId="0" borderId="37" xfId="42" applyNumberFormat="1" applyFont="1" applyBorder="1" applyAlignment="1" applyProtection="1">
      <alignment horizontal="center" vertical="center" wrapText="1"/>
      <protection locked="0"/>
    </xf>
    <xf numFmtId="186" fontId="28" fillId="0" borderId="42" xfId="42" applyNumberFormat="1" applyFont="1" applyBorder="1" applyAlignment="1" applyProtection="1">
      <alignment horizontal="center" vertical="center" wrapText="1"/>
      <protection locked="0"/>
    </xf>
    <xf numFmtId="186" fontId="28" fillId="0" borderId="48" xfId="42" applyNumberFormat="1" applyFont="1" applyBorder="1" applyAlignment="1" applyProtection="1">
      <alignment horizontal="center" vertical="center" wrapText="1"/>
      <protection locked="0"/>
    </xf>
    <xf numFmtId="186" fontId="28" fillId="0" borderId="50" xfId="42" applyNumberFormat="1" applyFont="1" applyBorder="1" applyAlignment="1" applyProtection="1">
      <alignment horizontal="center" vertical="center" wrapText="1"/>
      <protection locked="0"/>
    </xf>
    <xf numFmtId="186" fontId="28" fillId="0" borderId="32" xfId="42" applyNumberFormat="1" applyFont="1" applyBorder="1" applyAlignment="1" applyProtection="1">
      <alignment horizontal="center" vertical="center" wrapText="1"/>
      <protection locked="0"/>
    </xf>
    <xf numFmtId="0" fontId="40" fillId="0" borderId="73" xfId="42" applyFont="1" applyBorder="1" applyAlignment="1">
      <alignment horizontal="center" vertical="center" wrapText="1"/>
    </xf>
    <xf numFmtId="0" fontId="58" fillId="0" borderId="0" xfId="0" applyFont="1"/>
    <xf numFmtId="0" fontId="39" fillId="0" borderId="0" xfId="0" applyFont="1" applyAlignment="1">
      <alignment horizontal="left"/>
    </xf>
    <xf numFmtId="0" fontId="59" fillId="0" borderId="0" xfId="0" applyFont="1" applyAlignment="1">
      <alignment horizontal="left"/>
    </xf>
    <xf numFmtId="0" fontId="39" fillId="0" borderId="0" xfId="42" applyFont="1">
      <alignment vertical="center"/>
    </xf>
    <xf numFmtId="0" fontId="60" fillId="0" borderId="0" xfId="42" applyFont="1">
      <alignment vertical="center"/>
    </xf>
    <xf numFmtId="49" fontId="40" fillId="0" borderId="0" xfId="43" applyNumberFormat="1" applyFont="1" applyAlignment="1" applyProtection="1">
      <alignment horizontal="center" vertical="center"/>
      <protection locked="0"/>
    </xf>
    <xf numFmtId="0" fontId="40" fillId="0" borderId="0" xfId="43" applyFont="1" applyAlignment="1">
      <alignment horizontal="center"/>
    </xf>
    <xf numFmtId="0" fontId="40" fillId="0" borderId="0" xfId="43" applyFont="1" applyAlignment="1" applyProtection="1">
      <alignment horizontal="center" vertical="center"/>
      <protection locked="0"/>
    </xf>
    <xf numFmtId="0" fontId="40" fillId="0" borderId="0" xfId="0" applyFont="1" applyAlignment="1">
      <alignment horizontal="center" vertical="center"/>
    </xf>
    <xf numFmtId="180" fontId="29" fillId="0" borderId="26" xfId="0" applyNumberFormat="1" applyFont="1" applyBorder="1" applyAlignment="1" applyProtection="1">
      <alignment horizontal="center" vertical="center"/>
      <protection locked="0"/>
    </xf>
    <xf numFmtId="180" fontId="29" fillId="0" borderId="27" xfId="0" applyNumberFormat="1" applyFont="1" applyBorder="1" applyAlignment="1" applyProtection="1">
      <alignment horizontal="center" vertical="center"/>
      <protection locked="0"/>
    </xf>
    <xf numFmtId="180" fontId="29" fillId="0" borderId="13" xfId="0" applyNumberFormat="1" applyFont="1" applyBorder="1" applyAlignment="1" applyProtection="1">
      <alignment horizontal="center" vertical="center"/>
      <protection locked="0"/>
    </xf>
    <xf numFmtId="0" fontId="30" fillId="0" borderId="74" xfId="0" applyFont="1" applyBorder="1" applyAlignment="1">
      <alignment horizontal="center" vertical="center"/>
    </xf>
    <xf numFmtId="0" fontId="30" fillId="0" borderId="75" xfId="0" applyFont="1" applyBorder="1" applyAlignment="1">
      <alignment horizontal="center" vertical="center"/>
    </xf>
    <xf numFmtId="0" fontId="30" fillId="26" borderId="74" xfId="0" applyFont="1" applyFill="1" applyBorder="1" applyAlignment="1">
      <alignment horizontal="center" vertical="center"/>
    </xf>
    <xf numFmtId="0" fontId="30" fillId="26" borderId="75" xfId="0" applyFont="1" applyFill="1" applyBorder="1" applyAlignment="1">
      <alignment horizontal="center" vertical="center"/>
    </xf>
    <xf numFmtId="0" fontId="30" fillId="26" borderId="76" xfId="0" applyFont="1" applyFill="1" applyBorder="1" applyAlignment="1">
      <alignment horizontal="center" vertical="center"/>
    </xf>
    <xf numFmtId="0" fontId="30" fillId="0" borderId="76" xfId="0" applyFont="1" applyBorder="1" applyAlignment="1">
      <alignment horizontal="center" vertical="center"/>
    </xf>
    <xf numFmtId="0" fontId="9" fillId="0" borderId="0" xfId="43" applyFont="1" applyAlignment="1" applyProtection="1">
      <alignment horizontal="left" vertical="center"/>
      <protection locked="0"/>
    </xf>
    <xf numFmtId="0" fontId="9" fillId="0" borderId="0" xfId="43" applyFont="1" applyAlignment="1">
      <alignment horizontal="right" vertical="center"/>
    </xf>
    <xf numFmtId="0" fontId="30" fillId="27" borderId="23" xfId="0" applyFont="1" applyFill="1" applyBorder="1" applyAlignment="1">
      <alignment horizontal="center" vertical="center"/>
    </xf>
    <xf numFmtId="0" fontId="30" fillId="27" borderId="47" xfId="0" applyFont="1" applyFill="1" applyBorder="1" applyAlignment="1">
      <alignment horizontal="center" vertical="center"/>
    </xf>
    <xf numFmtId="0" fontId="30" fillId="27" borderId="46" xfId="0" applyFont="1" applyFill="1" applyBorder="1" applyAlignment="1">
      <alignment horizontal="center" vertical="center"/>
    </xf>
    <xf numFmtId="0" fontId="40" fillId="0" borderId="0" xfId="43" applyFont="1" applyAlignment="1">
      <alignment horizontal="center" vertical="center"/>
    </xf>
    <xf numFmtId="179" fontId="29" fillId="26" borderId="26" xfId="0" applyNumberFormat="1" applyFont="1" applyFill="1" applyBorder="1" applyAlignment="1">
      <alignment horizontal="center" vertical="center"/>
    </xf>
    <xf numFmtId="179" fontId="29" fillId="26" borderId="27" xfId="0" applyNumberFormat="1" applyFont="1" applyFill="1" applyBorder="1" applyAlignment="1">
      <alignment horizontal="center" vertical="center"/>
    </xf>
    <xf numFmtId="179" fontId="29" fillId="26" borderId="13" xfId="0" applyNumberFormat="1" applyFont="1" applyFill="1" applyBorder="1" applyAlignment="1">
      <alignment horizontal="center" vertical="center"/>
    </xf>
    <xf numFmtId="0" fontId="39" fillId="0" borderId="10" xfId="0" applyFont="1" applyBorder="1" applyAlignment="1" applyProtection="1">
      <alignment horizontal="center" vertical="center"/>
      <protection locked="0"/>
    </xf>
    <xf numFmtId="0" fontId="8" fillId="0" borderId="27" xfId="42" applyFont="1" applyBorder="1" applyAlignment="1">
      <alignment horizontal="center" vertical="center" wrapText="1"/>
    </xf>
    <xf numFmtId="0" fontId="8" fillId="0" borderId="13" xfId="42" applyFont="1" applyBorder="1" applyAlignment="1">
      <alignment horizontal="center" vertical="center" wrapText="1"/>
    </xf>
    <xf numFmtId="0" fontId="38" fillId="0" borderId="77" xfId="42" applyFont="1" applyBorder="1" applyAlignment="1">
      <alignment horizontal="center" vertical="center" wrapText="1"/>
    </xf>
    <xf numFmtId="0" fontId="38" fillId="0" borderId="78" xfId="42" applyFont="1" applyBorder="1" applyAlignment="1">
      <alignment horizontal="center" vertical="center" wrapText="1"/>
    </xf>
    <xf numFmtId="0" fontId="38" fillId="0" borderId="79" xfId="42" applyFont="1" applyBorder="1" applyAlignment="1">
      <alignment horizontal="center" vertical="center" wrapText="1"/>
    </xf>
    <xf numFmtId="0" fontId="38" fillId="0" borderId="80" xfId="42" applyFont="1" applyBorder="1" applyAlignment="1">
      <alignment horizontal="center" vertical="center" wrapText="1"/>
    </xf>
    <xf numFmtId="0" fontId="38" fillId="0" borderId="0" xfId="42" applyFont="1" applyAlignment="1">
      <alignment horizontal="center" vertical="center" wrapText="1"/>
    </xf>
    <xf numFmtId="0" fontId="38" fillId="0" borderId="21" xfId="42" applyFont="1" applyBorder="1" applyAlignment="1">
      <alignment horizontal="center" vertical="center" wrapText="1"/>
    </xf>
    <xf numFmtId="0" fontId="38" fillId="0" borderId="81" xfId="42" applyFont="1" applyBorder="1" applyAlignment="1">
      <alignment horizontal="center" vertical="center" wrapText="1"/>
    </xf>
    <xf numFmtId="0" fontId="38" fillId="0" borderId="82" xfId="42" applyFont="1" applyBorder="1" applyAlignment="1">
      <alignment horizontal="center" vertical="center" wrapText="1"/>
    </xf>
    <xf numFmtId="0" fontId="38" fillId="0" borderId="83" xfId="42" applyFont="1" applyBorder="1" applyAlignment="1">
      <alignment horizontal="center" vertical="center" wrapText="1"/>
    </xf>
    <xf numFmtId="0" fontId="38" fillId="0" borderId="27" xfId="42" applyFont="1" applyBorder="1" applyAlignment="1">
      <alignment horizontal="center" vertical="center" textRotation="255"/>
    </xf>
    <xf numFmtId="0" fontId="38" fillId="0" borderId="13" xfId="42" applyFont="1" applyBorder="1" applyAlignment="1">
      <alignment horizontal="center" vertical="center" textRotation="255"/>
    </xf>
    <xf numFmtId="0" fontId="55" fillId="0" borderId="0" xfId="42" applyFont="1" applyAlignment="1">
      <alignment horizontal="center" vertical="center"/>
    </xf>
    <xf numFmtId="180" fontId="38" fillId="0" borderId="51" xfId="42" applyNumberFormat="1" applyFont="1" applyBorder="1" applyAlignment="1">
      <alignment horizontal="center" vertical="center"/>
    </xf>
    <xf numFmtId="180" fontId="38" fillId="0" borderId="84" xfId="42" applyNumberFormat="1" applyFont="1" applyBorder="1" applyAlignment="1">
      <alignment horizontal="center" vertical="center"/>
    </xf>
    <xf numFmtId="0" fontId="1" fillId="0" borderId="15" xfId="42" applyBorder="1" applyAlignment="1">
      <alignment horizontal="center" vertical="center" wrapText="1"/>
    </xf>
    <xf numFmtId="0" fontId="1" fillId="0" borderId="52" xfId="42" applyBorder="1" applyAlignment="1">
      <alignment horizontal="center" vertical="center" wrapText="1"/>
    </xf>
    <xf numFmtId="0" fontId="1" fillId="0" borderId="18" xfId="42" applyBorder="1" applyAlignment="1">
      <alignment horizontal="center" vertical="center" wrapText="1"/>
    </xf>
    <xf numFmtId="0" fontId="1" fillId="0" borderId="21" xfId="42" applyBorder="1" applyAlignment="1">
      <alignment horizontal="center" vertical="center" wrapText="1"/>
    </xf>
    <xf numFmtId="0" fontId="1" fillId="0" borderId="16" xfId="42" applyBorder="1" applyAlignment="1">
      <alignment horizontal="center" vertical="center" wrapText="1"/>
    </xf>
    <xf numFmtId="0" fontId="1" fillId="0" borderId="20" xfId="42" applyBorder="1" applyAlignment="1">
      <alignment horizontal="center" vertical="center" wrapText="1"/>
    </xf>
    <xf numFmtId="0" fontId="37" fillId="0" borderId="26" xfId="42" applyFont="1" applyBorder="1" applyAlignment="1">
      <alignment horizontal="center" vertical="center" wrapText="1"/>
    </xf>
    <xf numFmtId="0" fontId="37" fillId="0" borderId="27" xfId="42" applyFont="1" applyBorder="1" applyAlignment="1">
      <alignment horizontal="center" vertical="center" wrapText="1"/>
    </xf>
    <xf numFmtId="0" fontId="37" fillId="0" borderId="13" xfId="42" applyFont="1" applyBorder="1" applyAlignment="1">
      <alignment horizontal="center" vertical="center" wrapText="1"/>
    </xf>
    <xf numFmtId="0" fontId="10" fillId="0" borderId="27" xfId="0" applyFont="1" applyBorder="1" applyAlignment="1">
      <alignment horizontal="center" vertical="center" wrapText="1"/>
    </xf>
    <xf numFmtId="0" fontId="10" fillId="0" borderId="13" xfId="0" applyFont="1" applyBorder="1" applyAlignment="1">
      <alignment horizontal="center" vertical="center" wrapText="1"/>
    </xf>
    <xf numFmtId="0" fontId="37" fillId="0" borderId="15" xfId="42" applyFont="1" applyBorder="1" applyAlignment="1">
      <alignment horizontal="center" vertical="center" wrapText="1"/>
    </xf>
    <xf numFmtId="0" fontId="37" fillId="0" borderId="25" xfId="42" applyFont="1" applyBorder="1" applyAlignment="1">
      <alignment horizontal="center" vertical="center" wrapText="1"/>
    </xf>
    <xf numFmtId="0" fontId="37" fillId="0" borderId="52" xfId="42" applyFont="1" applyBorder="1" applyAlignment="1">
      <alignment horizontal="center" vertical="center" wrapText="1"/>
    </xf>
    <xf numFmtId="0" fontId="37" fillId="0" borderId="18" xfId="42" applyFont="1" applyBorder="1" applyAlignment="1">
      <alignment horizontal="center" vertical="center" wrapText="1"/>
    </xf>
    <xf numFmtId="0" fontId="37" fillId="0" borderId="0" xfId="42" applyFont="1" applyAlignment="1">
      <alignment horizontal="center" vertical="center" wrapText="1"/>
    </xf>
    <xf numFmtId="0" fontId="37" fillId="0" borderId="21" xfId="42" applyFont="1" applyBorder="1" applyAlignment="1">
      <alignment horizontal="center" vertical="center" wrapText="1"/>
    </xf>
    <xf numFmtId="0" fontId="37" fillId="0" borderId="43" xfId="42" applyFont="1" applyBorder="1" applyAlignment="1">
      <alignment horizontal="center" vertical="center" wrapText="1"/>
    </xf>
    <xf numFmtId="0" fontId="37" fillId="0" borderId="71" xfId="42" applyFont="1" applyBorder="1" applyAlignment="1">
      <alignment horizontal="center" vertical="center" wrapText="1"/>
    </xf>
    <xf numFmtId="0" fontId="37" fillId="0" borderId="48" xfId="42" applyFont="1" applyBorder="1" applyAlignment="1">
      <alignment horizontal="center" vertical="center" wrapText="1"/>
    </xf>
    <xf numFmtId="0" fontId="37" fillId="0" borderId="20" xfId="42" applyFont="1" applyBorder="1" applyAlignment="1">
      <alignment horizontal="center" vertical="center" wrapText="1"/>
    </xf>
    <xf numFmtId="0" fontId="37" fillId="0" borderId="47" xfId="42" applyFont="1" applyBorder="1" applyAlignment="1">
      <alignment horizontal="center" vertical="center"/>
    </xf>
    <xf numFmtId="0" fontId="37" fillId="0" borderId="46" xfId="42" applyFont="1" applyBorder="1" applyAlignment="1">
      <alignment horizontal="center" vertical="center"/>
    </xf>
    <xf numFmtId="0" fontId="1" fillId="0" borderId="67" xfId="42" applyBorder="1" applyAlignment="1">
      <alignment horizontal="center" vertical="center" wrapText="1"/>
    </xf>
    <xf numFmtId="0" fontId="1" fillId="0" borderId="11" xfId="42" applyBorder="1" applyAlignment="1">
      <alignment horizontal="center" vertical="center" wrapText="1"/>
    </xf>
    <xf numFmtId="0" fontId="8" fillId="0" borderId="26" xfId="42" applyFont="1" applyBorder="1" applyAlignment="1">
      <alignment horizontal="center" vertical="center"/>
    </xf>
    <xf numFmtId="0" fontId="8" fillId="0" borderId="27" xfId="42" applyFont="1" applyBorder="1" applyAlignment="1">
      <alignment horizontal="center" vertical="center"/>
    </xf>
    <xf numFmtId="0" fontId="8" fillId="0" borderId="13" xfId="42" applyFont="1" applyBorder="1" applyAlignment="1">
      <alignment horizontal="center" vertical="center"/>
    </xf>
    <xf numFmtId="0" fontId="37" fillId="0" borderId="16" xfId="42" applyFont="1" applyBorder="1" applyAlignment="1">
      <alignment horizontal="center" vertical="center" wrapText="1"/>
    </xf>
    <xf numFmtId="0" fontId="8" fillId="0" borderId="0" xfId="42" applyFont="1" applyAlignment="1">
      <alignment horizontal="center" vertical="center" wrapText="1"/>
    </xf>
    <xf numFmtId="0" fontId="8" fillId="0" borderId="19" xfId="42" applyFont="1" applyBorder="1" applyAlignment="1">
      <alignment horizontal="center" vertical="center" wrapText="1"/>
    </xf>
    <xf numFmtId="0" fontId="28" fillId="0" borderId="77" xfId="42" applyFont="1" applyBorder="1" applyAlignment="1">
      <alignment horizontal="center" vertical="center" wrapText="1"/>
    </xf>
    <xf numFmtId="0" fontId="28" fillId="0" borderId="17" xfId="42" applyFont="1" applyBorder="1" applyAlignment="1">
      <alignment horizontal="center" vertical="center" wrapText="1"/>
    </xf>
    <xf numFmtId="0" fontId="37" fillId="0" borderId="10" xfId="42" applyFont="1" applyBorder="1" applyAlignment="1">
      <alignment horizontal="center" vertical="center"/>
    </xf>
    <xf numFmtId="0" fontId="44" fillId="0" borderId="0" xfId="42" applyFont="1" applyAlignment="1">
      <alignment horizontal="center" vertical="center"/>
    </xf>
    <xf numFmtId="0" fontId="29" fillId="0" borderId="10" xfId="42" applyFont="1" applyBorder="1" applyAlignment="1">
      <alignment horizontal="center" vertical="center"/>
    </xf>
    <xf numFmtId="0" fontId="1" fillId="0" borderId="27" xfId="42" applyBorder="1" applyAlignment="1">
      <alignment horizontal="center" vertical="center" wrapText="1"/>
    </xf>
    <xf numFmtId="0" fontId="1" fillId="0" borderId="13" xfId="42" applyBorder="1" applyAlignment="1">
      <alignment horizontal="center" vertical="center" wrapText="1"/>
    </xf>
    <xf numFmtId="0" fontId="37" fillId="0" borderId="26" xfId="42" applyFont="1" applyBorder="1" applyAlignment="1">
      <alignment horizontal="center" vertical="center"/>
    </xf>
    <xf numFmtId="180" fontId="38" fillId="0" borderId="85" xfId="42" applyNumberFormat="1" applyFont="1" applyBorder="1" applyAlignment="1">
      <alignment horizontal="center" vertical="center"/>
    </xf>
    <xf numFmtId="0" fontId="37" fillId="0" borderId="15" xfId="42" applyFont="1" applyBorder="1" applyAlignment="1">
      <alignment horizontal="center" vertical="center"/>
    </xf>
    <xf numFmtId="0" fontId="37" fillId="0" borderId="25" xfId="42" applyFont="1" applyBorder="1" applyAlignment="1">
      <alignment horizontal="center" vertical="center"/>
    </xf>
    <xf numFmtId="0" fontId="37" fillId="0" borderId="52" xfId="42" applyFont="1" applyBorder="1" applyAlignment="1">
      <alignment horizontal="center" vertical="center"/>
    </xf>
    <xf numFmtId="0" fontId="37" fillId="0" borderId="18" xfId="42" applyFont="1" applyBorder="1" applyAlignment="1">
      <alignment horizontal="center" vertical="center"/>
    </xf>
    <xf numFmtId="0" fontId="37" fillId="0" borderId="0" xfId="42" applyFont="1" applyAlignment="1">
      <alignment horizontal="center" vertical="center"/>
    </xf>
    <xf numFmtId="0" fontId="37" fillId="0" borderId="21" xfId="42" applyFont="1" applyBorder="1" applyAlignment="1">
      <alignment horizontal="center" vertical="center"/>
    </xf>
    <xf numFmtId="0" fontId="37" fillId="0" borderId="43" xfId="42" applyFont="1" applyBorder="1" applyAlignment="1">
      <alignment horizontal="center" vertical="center"/>
    </xf>
    <xf numFmtId="0" fontId="37" fillId="0" borderId="71" xfId="42" applyFont="1" applyBorder="1" applyAlignment="1">
      <alignment horizontal="center" vertical="center"/>
    </xf>
    <xf numFmtId="0" fontId="37" fillId="0" borderId="48" xfId="42" applyFont="1" applyBorder="1" applyAlignment="1">
      <alignment horizontal="center" vertical="center"/>
    </xf>
    <xf numFmtId="0" fontId="37" fillId="0" borderId="19" xfId="42" applyFont="1" applyBorder="1" applyAlignment="1">
      <alignment horizontal="left" vertical="center"/>
    </xf>
    <xf numFmtId="180" fontId="0" fillId="0" borderId="0" xfId="0" applyNumberFormat="1" applyAlignment="1">
      <alignment horizontal="center" vertical="center"/>
    </xf>
    <xf numFmtId="0" fontId="8" fillId="0" borderId="77" xfId="42" applyFont="1" applyBorder="1" applyAlignment="1">
      <alignment vertical="center" wrapText="1"/>
    </xf>
    <xf numFmtId="0" fontId="8" fillId="0" borderId="86" xfId="42" applyFont="1" applyBorder="1" applyAlignment="1">
      <alignment vertical="center" wrapText="1"/>
    </xf>
    <xf numFmtId="0" fontId="8" fillId="0" borderId="78" xfId="42" applyFont="1" applyBorder="1" applyAlignment="1">
      <alignment vertical="center" wrapText="1"/>
    </xf>
    <xf numFmtId="0" fontId="0" fillId="0" borderId="15" xfId="0" applyBorder="1" applyAlignment="1">
      <alignment horizontal="center"/>
    </xf>
    <xf numFmtId="0" fontId="0" fillId="0" borderId="52" xfId="0" applyBorder="1" applyAlignment="1">
      <alignment horizontal="center"/>
    </xf>
    <xf numFmtId="0" fontId="0" fillId="0" borderId="15" xfId="0" applyBorder="1" applyAlignment="1">
      <alignment horizontal="center" wrapText="1"/>
    </xf>
    <xf numFmtId="0" fontId="0" fillId="0" borderId="25" xfId="0" applyBorder="1" applyAlignment="1">
      <alignment horizontal="center" wrapText="1"/>
    </xf>
    <xf numFmtId="0" fontId="0" fillId="0" borderId="52" xfId="0" applyBorder="1" applyAlignment="1">
      <alignment horizontal="center" wrapText="1"/>
    </xf>
    <xf numFmtId="20" fontId="28" fillId="0" borderId="15" xfId="0" applyNumberFormat="1" applyFont="1" applyBorder="1" applyAlignment="1">
      <alignment horizontal="center" wrapText="1"/>
    </xf>
    <xf numFmtId="20" fontId="28" fillId="0" borderId="52" xfId="0" applyNumberFormat="1" applyFont="1" applyBorder="1" applyAlignment="1">
      <alignment horizontal="center" wrapText="1"/>
    </xf>
    <xf numFmtId="20" fontId="28" fillId="0" borderId="16" xfId="0" applyNumberFormat="1" applyFont="1" applyBorder="1" applyAlignment="1">
      <alignment horizontal="center" wrapText="1"/>
    </xf>
    <xf numFmtId="20" fontId="28" fillId="0" borderId="20" xfId="0" applyNumberFormat="1" applyFont="1" applyBorder="1" applyAlignment="1">
      <alignment horizontal="center" wrapText="1"/>
    </xf>
    <xf numFmtId="0" fontId="0" fillId="0" borderId="0" xfId="0" applyAlignment="1">
      <alignment horizontal="center"/>
    </xf>
    <xf numFmtId="0" fontId="43" fillId="0" borderId="0" xfId="0" applyFont="1" applyAlignment="1">
      <alignment horizontal="right"/>
    </xf>
    <xf numFmtId="0" fontId="10" fillId="24" borderId="87" xfId="0" applyFont="1" applyFill="1" applyBorder="1" applyAlignment="1">
      <alignment horizontal="center"/>
    </xf>
    <xf numFmtId="0" fontId="10" fillId="24" borderId="88" xfId="0" applyFont="1" applyFill="1" applyBorder="1" applyAlignment="1">
      <alignment horizontal="center"/>
    </xf>
    <xf numFmtId="0" fontId="10" fillId="24" borderId="69" xfId="0" applyFont="1" applyFill="1" applyBorder="1" applyAlignment="1">
      <alignment horizontal="center"/>
    </xf>
  </cellXfs>
  <cellStyles count="45">
    <cellStyle name="20% - アクセント 1" xfId="1" builtinId="30" customBuiltin="1"/>
    <cellStyle name="20% - アクセント 2" xfId="2" builtinId="34" customBuiltin="1"/>
    <cellStyle name="20% - アクセント 3" xfId="3" builtinId="38" customBuiltin="1"/>
    <cellStyle name="20% - アクセント 4" xfId="4" builtinId="42" customBuiltin="1"/>
    <cellStyle name="20% - アクセント 5" xfId="5" builtinId="46" customBuiltin="1"/>
    <cellStyle name="20% - アクセント 6" xfId="6" builtinId="50" customBuiltin="1"/>
    <cellStyle name="40% - アクセント 1" xfId="7" builtinId="31" customBuiltin="1"/>
    <cellStyle name="40% - アクセント 2" xfId="8" builtinId="35" customBuiltin="1"/>
    <cellStyle name="40% - アクセント 3" xfId="9" builtinId="39" customBuiltin="1"/>
    <cellStyle name="40% - アクセント 4" xfId="10" builtinId="43" customBuiltin="1"/>
    <cellStyle name="40% - アクセント 5" xfId="11" builtinId="47" customBuiltin="1"/>
    <cellStyle name="40% - アクセント 6" xfId="12" builtinId="51" customBuiltin="1"/>
    <cellStyle name="60% - アクセント 1" xfId="13" builtinId="32" customBuiltin="1"/>
    <cellStyle name="60% - アクセント 2" xfId="14" builtinId="36" customBuiltin="1"/>
    <cellStyle name="60% - アクセント 3" xfId="15" builtinId="40" customBuiltin="1"/>
    <cellStyle name="60% - アクセント 4" xfId="16" builtinId="44" customBuiltin="1"/>
    <cellStyle name="60% - アクセント 5" xfId="17" builtinId="48" customBuiltin="1"/>
    <cellStyle name="60% - アクセント 6" xfId="18" builtinId="52" customBuiltin="1"/>
    <cellStyle name="アクセント 1" xfId="19" builtinId="29" customBuiltin="1"/>
    <cellStyle name="アクセント 2" xfId="20" builtinId="33" customBuiltin="1"/>
    <cellStyle name="アクセント 3" xfId="21" builtinId="37" customBuiltin="1"/>
    <cellStyle name="アクセント 4" xfId="22" builtinId="41" customBuiltin="1"/>
    <cellStyle name="アクセント 5" xfId="23" builtinId="45" customBuiltin="1"/>
    <cellStyle name="アクセント 6" xfId="24" builtinId="49" customBuiltin="1"/>
    <cellStyle name="タイトル" xfId="25" builtinId="15" customBuiltin="1"/>
    <cellStyle name="チェック セル" xfId="26" builtinId="23" customBuiltin="1"/>
    <cellStyle name="どちらでもない" xfId="27" builtinId="28" customBuiltin="1"/>
    <cellStyle name="ハイパーリンク" xfId="28" builtinId="8"/>
    <cellStyle name="メモ" xfId="29" builtinId="10" customBuiltin="1"/>
    <cellStyle name="リンク セル" xfId="30" builtinId="24" customBuiltin="1"/>
    <cellStyle name="悪い" xfId="31" builtinId="27" customBuiltin="1"/>
    <cellStyle name="計算" xfId="32" builtinId="22" customBuiltin="1"/>
    <cellStyle name="警告文" xfId="33" builtinId="11" customBuiltin="1"/>
    <cellStyle name="見出し 1" xfId="34" builtinId="16" customBuiltin="1"/>
    <cellStyle name="見出し 2" xfId="35" builtinId="17" customBuiltin="1"/>
    <cellStyle name="見出し 3" xfId="36" builtinId="18" customBuiltin="1"/>
    <cellStyle name="見出し 4" xfId="37" builtinId="19" customBuiltin="1"/>
    <cellStyle name="集計" xfId="38" builtinId="25" customBuiltin="1"/>
    <cellStyle name="出力" xfId="39" builtinId="21" customBuiltin="1"/>
    <cellStyle name="説明文" xfId="40" builtinId="53" customBuiltin="1"/>
    <cellStyle name="入力" xfId="41" builtinId="20" customBuiltin="1"/>
    <cellStyle name="標準" xfId="0" builtinId="0"/>
    <cellStyle name="標準 2" xfId="42" xr:uid="{00000000-0005-0000-0000-00002A000000}"/>
    <cellStyle name="標準_係員1" xfId="43" xr:uid="{00000000-0005-0000-0000-00002B000000}"/>
    <cellStyle name="良い" xfId="44" builtinId="26" customBuiltin="1"/>
  </cellStyles>
  <dxfs count="9">
    <dxf>
      <font>
        <color rgb="FF0000FF"/>
      </font>
      <fill>
        <patternFill>
          <bgColor rgb="FFCCECFF"/>
        </patternFill>
      </fill>
    </dxf>
    <dxf>
      <font>
        <color rgb="FFFF0000"/>
        <name val="ＭＳ Ｐゴシック"/>
        <scheme val="none"/>
      </font>
      <fill>
        <patternFill patternType="solid">
          <fgColor indexed="64"/>
          <bgColor rgb="FFFF99CC"/>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indexed="10"/>
      </font>
    </dxf>
    <dxf>
      <font>
        <condense val="0"/>
        <extend val="0"/>
        <color indexed="12"/>
      </font>
    </dxf>
    <dxf>
      <font>
        <condense val="0"/>
        <extend val="0"/>
        <color indexed="9"/>
      </font>
    </dxf>
    <dxf>
      <font>
        <condense val="0"/>
        <extend val="0"/>
        <color indexed="10"/>
      </font>
    </dxf>
    <dxf>
      <font>
        <condense val="0"/>
        <extend val="0"/>
        <color indexed="12"/>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1</xdr:row>
          <xdr:rowOff>0</xdr:rowOff>
        </xdr:from>
        <xdr:to>
          <xdr:col>1</xdr:col>
          <xdr:colOff>1295400</xdr:colOff>
          <xdr:row>3</xdr:row>
          <xdr:rowOff>76200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補助簿 印刷</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142875</xdr:colOff>
      <xdr:row>116</xdr:row>
      <xdr:rowOff>152400</xdr:rowOff>
    </xdr:from>
    <xdr:to>
      <xdr:col>10</xdr:col>
      <xdr:colOff>600075</xdr:colOff>
      <xdr:row>136</xdr:row>
      <xdr:rowOff>162296</xdr:rowOff>
    </xdr:to>
    <xdr:pic>
      <xdr:nvPicPr>
        <xdr:cNvPr id="20" name="図 19">
          <a:extLst>
            <a:ext uri="{FF2B5EF4-FFF2-40B4-BE49-F238E27FC236}">
              <a16:creationId xmlns:a16="http://schemas.microsoft.com/office/drawing/2014/main" id="{00000000-0008-0000-06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2875" y="20116800"/>
          <a:ext cx="6810375" cy="34388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38101</xdr:colOff>
      <xdr:row>142</xdr:row>
      <xdr:rowOff>133350</xdr:rowOff>
    </xdr:from>
    <xdr:to>
      <xdr:col>10</xdr:col>
      <xdr:colOff>885826</xdr:colOff>
      <xdr:row>165</xdr:row>
      <xdr:rowOff>142875</xdr:rowOff>
    </xdr:to>
    <xdr:pic>
      <xdr:nvPicPr>
        <xdr:cNvPr id="29" name="図 28">
          <a:extLst>
            <a:ext uri="{FF2B5EF4-FFF2-40B4-BE49-F238E27FC236}">
              <a16:creationId xmlns:a16="http://schemas.microsoft.com/office/drawing/2014/main" id="{00000000-0008-0000-0600-00001D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101" y="24384000"/>
          <a:ext cx="7200900" cy="3952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161925</xdr:colOff>
      <xdr:row>103</xdr:row>
      <xdr:rowOff>47625</xdr:rowOff>
    </xdr:from>
    <xdr:to>
      <xdr:col>4</xdr:col>
      <xdr:colOff>0</xdr:colOff>
      <xdr:row>111</xdr:row>
      <xdr:rowOff>95250</xdr:rowOff>
    </xdr:to>
    <xdr:pic>
      <xdr:nvPicPr>
        <xdr:cNvPr id="25" name="図 24">
          <a:extLst>
            <a:ext uri="{FF2B5EF4-FFF2-40B4-BE49-F238E27FC236}">
              <a16:creationId xmlns:a16="http://schemas.microsoft.com/office/drawing/2014/main" id="{00000000-0008-0000-0600-00001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1925" y="17783175"/>
          <a:ext cx="2076450" cy="1419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xdr:colOff>
      <xdr:row>72</xdr:row>
      <xdr:rowOff>1</xdr:rowOff>
    </xdr:from>
    <xdr:to>
      <xdr:col>10</xdr:col>
      <xdr:colOff>923926</xdr:colOff>
      <xdr:row>96</xdr:row>
      <xdr:rowOff>95250</xdr:rowOff>
    </xdr:to>
    <xdr:pic>
      <xdr:nvPicPr>
        <xdr:cNvPr id="23" name="図 22">
          <a:extLst>
            <a:ext uri="{FF2B5EF4-FFF2-40B4-BE49-F238E27FC236}">
              <a16:creationId xmlns:a16="http://schemas.microsoft.com/office/drawing/2014/main" id="{00000000-0008-0000-0600-00001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 y="12420601"/>
          <a:ext cx="7277100" cy="421004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0</xdr:colOff>
      <xdr:row>47</xdr:row>
      <xdr:rowOff>66676</xdr:rowOff>
    </xdr:from>
    <xdr:to>
      <xdr:col>10</xdr:col>
      <xdr:colOff>561975</xdr:colOff>
      <xdr:row>68</xdr:row>
      <xdr:rowOff>0</xdr:rowOff>
    </xdr:to>
    <xdr:pic>
      <xdr:nvPicPr>
        <xdr:cNvPr id="21" name="図 20">
          <a:extLst>
            <a:ext uri="{FF2B5EF4-FFF2-40B4-BE49-F238E27FC236}">
              <a16:creationId xmlns:a16="http://schemas.microsoft.com/office/drawing/2014/main" id="{00000000-0008-0000-0600-000015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0" y="8201026"/>
          <a:ext cx="6915150" cy="35337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104776</xdr:colOff>
      <xdr:row>12</xdr:row>
      <xdr:rowOff>142876</xdr:rowOff>
    </xdr:from>
    <xdr:to>
      <xdr:col>10</xdr:col>
      <xdr:colOff>714375</xdr:colOff>
      <xdr:row>33</xdr:row>
      <xdr:rowOff>57150</xdr:rowOff>
    </xdr:to>
    <xdr:pic>
      <xdr:nvPicPr>
        <xdr:cNvPr id="19" name="図 18">
          <a:extLst>
            <a:ext uri="{FF2B5EF4-FFF2-40B4-BE49-F238E27FC236}">
              <a16:creationId xmlns:a16="http://schemas.microsoft.com/office/drawing/2014/main" id="{00000000-0008-0000-0600-000013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04776" y="2209801"/>
          <a:ext cx="6962774" cy="35813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228600</xdr:colOff>
      <xdr:row>15</xdr:row>
      <xdr:rowOff>66675</xdr:rowOff>
    </xdr:from>
    <xdr:to>
      <xdr:col>3</xdr:col>
      <xdr:colOff>428625</xdr:colOff>
      <xdr:row>17</xdr:row>
      <xdr:rowOff>142875</xdr:rowOff>
    </xdr:to>
    <xdr:sp macro="" textlink="">
      <xdr:nvSpPr>
        <xdr:cNvPr id="6205" name="Oval 61">
          <a:extLst>
            <a:ext uri="{FF2B5EF4-FFF2-40B4-BE49-F238E27FC236}">
              <a16:creationId xmlns:a16="http://schemas.microsoft.com/office/drawing/2014/main" id="{00000000-0008-0000-0600-00003D180000}"/>
            </a:ext>
          </a:extLst>
        </xdr:cNvPr>
        <xdr:cNvSpPr>
          <a:spLocks noChangeArrowheads="1"/>
        </xdr:cNvSpPr>
      </xdr:nvSpPr>
      <xdr:spPr bwMode="auto">
        <a:xfrm>
          <a:off x="409575" y="2647950"/>
          <a:ext cx="1571625" cy="485775"/>
        </a:xfrm>
        <a:prstGeom prst="ellipse">
          <a:avLst/>
        </a:prstGeom>
        <a:noFill/>
        <a:ln w="2857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333375</xdr:colOff>
      <xdr:row>106</xdr:row>
      <xdr:rowOff>66675</xdr:rowOff>
    </xdr:from>
    <xdr:to>
      <xdr:col>6</xdr:col>
      <xdr:colOff>219075</xdr:colOff>
      <xdr:row>109</xdr:row>
      <xdr:rowOff>57150</xdr:rowOff>
    </xdr:to>
    <xdr:sp macro="" textlink="">
      <xdr:nvSpPr>
        <xdr:cNvPr id="3" name="四角形吹き出し 2">
          <a:extLst>
            <a:ext uri="{FF2B5EF4-FFF2-40B4-BE49-F238E27FC236}">
              <a16:creationId xmlns:a16="http://schemas.microsoft.com/office/drawing/2014/main" id="{00000000-0008-0000-0600-000003000000}"/>
            </a:ext>
          </a:extLst>
        </xdr:cNvPr>
        <xdr:cNvSpPr/>
      </xdr:nvSpPr>
      <xdr:spPr>
        <a:xfrm>
          <a:off x="2571750" y="18316575"/>
          <a:ext cx="1257300" cy="504825"/>
        </a:xfrm>
        <a:prstGeom prst="wedgeRectCallout">
          <a:avLst>
            <a:gd name="adj1" fmla="val -85698"/>
            <a:gd name="adj2" fmla="val 39858"/>
          </a:avLst>
        </a:prstGeom>
      </xdr:spPr>
      <xdr:style>
        <a:lnRef idx="1">
          <a:schemeClr val="accent2"/>
        </a:lnRef>
        <a:fillRef idx="2">
          <a:schemeClr val="accent2"/>
        </a:fillRef>
        <a:effectRef idx="1">
          <a:schemeClr val="accent2"/>
        </a:effectRef>
        <a:fontRef idx="minor">
          <a:schemeClr val="dk1"/>
        </a:fontRef>
      </xdr:style>
      <xdr:txBody>
        <a:bodyPr vertOverflow="clip" rtlCol="0" anchor="ctr"/>
        <a:lstStyle/>
        <a:p>
          <a:pPr algn="ctr"/>
          <a:r>
            <a:rPr kumimoji="1" lang="en-US" altLang="ja-JP" sz="1100"/>
            <a:t>18:30</a:t>
          </a:r>
          <a:r>
            <a:rPr kumimoji="1" lang="ja-JP" altLang="en-US" sz="1100"/>
            <a:t>～</a:t>
          </a:r>
          <a:r>
            <a:rPr kumimoji="1" lang="en-US" altLang="ja-JP" sz="1100"/>
            <a:t>19:00</a:t>
          </a:r>
        </a:p>
        <a:p>
          <a:pPr algn="ctr"/>
          <a:r>
            <a:rPr kumimoji="1" lang="ja-JP" altLang="en-US" sz="1100"/>
            <a:t>が重なっている</a:t>
          </a:r>
        </a:p>
      </xdr:txBody>
    </xdr:sp>
    <xdr:clientData/>
  </xdr:twoCellAnchor>
  <xdr:twoCellAnchor>
    <xdr:from>
      <xdr:col>9</xdr:col>
      <xdr:colOff>47625</xdr:colOff>
      <xdr:row>15</xdr:row>
      <xdr:rowOff>76200</xdr:rowOff>
    </xdr:from>
    <xdr:to>
      <xdr:col>10</xdr:col>
      <xdr:colOff>495300</xdr:colOff>
      <xdr:row>17</xdr:row>
      <xdr:rowOff>104775</xdr:rowOff>
    </xdr:to>
    <xdr:sp macro="" textlink="">
      <xdr:nvSpPr>
        <xdr:cNvPr id="6208" name="Oval 64">
          <a:extLst>
            <a:ext uri="{FF2B5EF4-FFF2-40B4-BE49-F238E27FC236}">
              <a16:creationId xmlns:a16="http://schemas.microsoft.com/office/drawing/2014/main" id="{00000000-0008-0000-0600-000040180000}"/>
            </a:ext>
          </a:extLst>
        </xdr:cNvPr>
        <xdr:cNvSpPr>
          <a:spLocks noChangeArrowheads="1"/>
        </xdr:cNvSpPr>
      </xdr:nvSpPr>
      <xdr:spPr bwMode="auto">
        <a:xfrm>
          <a:off x="5715000" y="2657475"/>
          <a:ext cx="1133475" cy="438150"/>
        </a:xfrm>
        <a:prstGeom prst="ellipse">
          <a:avLst/>
        </a:prstGeom>
        <a:noFill/>
        <a:ln w="2857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4</xdr:col>
      <xdr:colOff>457200</xdr:colOff>
      <xdr:row>15</xdr:row>
      <xdr:rowOff>161925</xdr:rowOff>
    </xdr:from>
    <xdr:to>
      <xdr:col>5</xdr:col>
      <xdr:colOff>485775</xdr:colOff>
      <xdr:row>17</xdr:row>
      <xdr:rowOff>114300</xdr:rowOff>
    </xdr:to>
    <xdr:sp macro="" textlink="">
      <xdr:nvSpPr>
        <xdr:cNvPr id="6207" name="Oval 63">
          <a:extLst>
            <a:ext uri="{FF2B5EF4-FFF2-40B4-BE49-F238E27FC236}">
              <a16:creationId xmlns:a16="http://schemas.microsoft.com/office/drawing/2014/main" id="{00000000-0008-0000-0600-00003F180000}"/>
            </a:ext>
          </a:extLst>
        </xdr:cNvPr>
        <xdr:cNvSpPr>
          <a:spLocks noChangeArrowheads="1"/>
        </xdr:cNvSpPr>
      </xdr:nvSpPr>
      <xdr:spPr bwMode="auto">
        <a:xfrm>
          <a:off x="2695575" y="2743200"/>
          <a:ext cx="714375" cy="361950"/>
        </a:xfrm>
        <a:prstGeom prst="ellipse">
          <a:avLst/>
        </a:prstGeom>
        <a:noFill/>
        <a:ln w="2857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2</xdr:col>
      <xdr:colOff>219075</xdr:colOff>
      <xdr:row>59</xdr:row>
      <xdr:rowOff>28576</xdr:rowOff>
    </xdr:from>
    <xdr:to>
      <xdr:col>5</xdr:col>
      <xdr:colOff>57150</xdr:colOff>
      <xdr:row>66</xdr:row>
      <xdr:rowOff>161926</xdr:rowOff>
    </xdr:to>
    <xdr:sp macro="" textlink="">
      <xdr:nvSpPr>
        <xdr:cNvPr id="6210" name="Oval 66">
          <a:extLst>
            <a:ext uri="{FF2B5EF4-FFF2-40B4-BE49-F238E27FC236}">
              <a16:creationId xmlns:a16="http://schemas.microsoft.com/office/drawing/2014/main" id="{00000000-0008-0000-0600-000042180000}"/>
            </a:ext>
          </a:extLst>
        </xdr:cNvPr>
        <xdr:cNvSpPr>
          <a:spLocks noChangeArrowheads="1"/>
        </xdr:cNvSpPr>
      </xdr:nvSpPr>
      <xdr:spPr bwMode="auto">
        <a:xfrm>
          <a:off x="1085850" y="10220326"/>
          <a:ext cx="1895475" cy="1333500"/>
        </a:xfrm>
        <a:prstGeom prst="ellipse">
          <a:avLst/>
        </a:prstGeom>
        <a:noFill/>
        <a:ln w="19050">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xdr:col>
      <xdr:colOff>476250</xdr:colOff>
      <xdr:row>81</xdr:row>
      <xdr:rowOff>9524</xdr:rowOff>
    </xdr:from>
    <xdr:to>
      <xdr:col>5</xdr:col>
      <xdr:colOff>295276</xdr:colOff>
      <xdr:row>94</xdr:row>
      <xdr:rowOff>133349</xdr:rowOff>
    </xdr:to>
    <xdr:sp macro="" textlink="">
      <xdr:nvSpPr>
        <xdr:cNvPr id="6213" name="Rectangle 69">
          <a:extLst>
            <a:ext uri="{FF2B5EF4-FFF2-40B4-BE49-F238E27FC236}">
              <a16:creationId xmlns:a16="http://schemas.microsoft.com/office/drawing/2014/main" id="{00000000-0008-0000-0600-000045180000}"/>
            </a:ext>
          </a:extLst>
        </xdr:cNvPr>
        <xdr:cNvSpPr>
          <a:spLocks noChangeArrowheads="1"/>
        </xdr:cNvSpPr>
      </xdr:nvSpPr>
      <xdr:spPr bwMode="auto">
        <a:xfrm>
          <a:off x="657225" y="13973174"/>
          <a:ext cx="2562226" cy="2352675"/>
        </a:xfrm>
        <a:prstGeom prst="rect">
          <a:avLst/>
        </a:prstGeom>
        <a:noFill/>
        <a:ln w="28575">
          <a:solidFill>
            <a:srgbClr xmlns:mc="http://schemas.openxmlformats.org/markup-compatibility/2006" xmlns:a14="http://schemas.microsoft.com/office/drawing/2010/main" val="FF0000" mc:Ignorable="a14" a14:legacySpreadsheetColorIndex="10"/>
          </a:solidFill>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5</xdr:col>
      <xdr:colOff>485775</xdr:colOff>
      <xdr:row>131</xdr:row>
      <xdr:rowOff>66674</xdr:rowOff>
    </xdr:from>
    <xdr:to>
      <xdr:col>8</xdr:col>
      <xdr:colOff>609600</xdr:colOff>
      <xdr:row>135</xdr:row>
      <xdr:rowOff>19049</xdr:rowOff>
    </xdr:to>
    <xdr:sp macro="" textlink="">
      <xdr:nvSpPr>
        <xdr:cNvPr id="6216" name="Oval 72">
          <a:extLst>
            <a:ext uri="{FF2B5EF4-FFF2-40B4-BE49-F238E27FC236}">
              <a16:creationId xmlns:a16="http://schemas.microsoft.com/office/drawing/2014/main" id="{00000000-0008-0000-0600-000048180000}"/>
            </a:ext>
          </a:extLst>
        </xdr:cNvPr>
        <xdr:cNvSpPr>
          <a:spLocks noChangeArrowheads="1"/>
        </xdr:cNvSpPr>
      </xdr:nvSpPr>
      <xdr:spPr bwMode="auto">
        <a:xfrm>
          <a:off x="3409950" y="22602824"/>
          <a:ext cx="2181225" cy="638175"/>
        </a:xfrm>
        <a:prstGeom prst="ellipse">
          <a:avLst/>
        </a:prstGeom>
        <a:noFill/>
        <a:ln w="2857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twoCellAnchor>
    <xdr:from>
      <xdr:col>1</xdr:col>
      <xdr:colOff>57150</xdr:colOff>
      <xdr:row>157</xdr:row>
      <xdr:rowOff>76200</xdr:rowOff>
    </xdr:from>
    <xdr:to>
      <xdr:col>3</xdr:col>
      <xdr:colOff>228600</xdr:colOff>
      <xdr:row>161</xdr:row>
      <xdr:rowOff>57150</xdr:rowOff>
    </xdr:to>
    <xdr:sp macro="" textlink="">
      <xdr:nvSpPr>
        <xdr:cNvPr id="6228" name="Oval 84">
          <a:extLst>
            <a:ext uri="{FF2B5EF4-FFF2-40B4-BE49-F238E27FC236}">
              <a16:creationId xmlns:a16="http://schemas.microsoft.com/office/drawing/2014/main" id="{00000000-0008-0000-0600-000054180000}"/>
            </a:ext>
          </a:extLst>
        </xdr:cNvPr>
        <xdr:cNvSpPr>
          <a:spLocks noChangeArrowheads="1"/>
        </xdr:cNvSpPr>
      </xdr:nvSpPr>
      <xdr:spPr bwMode="auto">
        <a:xfrm>
          <a:off x="238125" y="26898600"/>
          <a:ext cx="1543050" cy="666750"/>
        </a:xfrm>
        <a:prstGeom prst="ellipse">
          <a:avLst/>
        </a:prstGeom>
        <a:noFill/>
        <a:ln w="28575">
          <a:solidFill>
            <a:srgbClr xmlns:mc="http://schemas.openxmlformats.org/markup-compatibility/2006" xmlns:a14="http://schemas.microsoft.com/office/drawing/2010/main" val="FF0000" mc:Ignorable="a14" a14:legacySpreadsheetColorIndex="10"/>
          </a:solidFill>
          <a:round/>
          <a:headEnd/>
          <a:tailEnd/>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Lst>
      </xdr:spPr>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4"/>
  <sheetViews>
    <sheetView workbookViewId="0"/>
  </sheetViews>
  <sheetFormatPr baseColWidth="10" defaultColWidth="8.83203125" defaultRowHeight="14"/>
  <cols>
    <col min="1" max="1" width="3.5" customWidth="1"/>
    <col min="2" max="2" width="5.5" customWidth="1"/>
  </cols>
  <sheetData>
    <row r="1" spans="1:11">
      <c r="A1" s="1"/>
      <c r="B1" s="1"/>
      <c r="C1" s="1"/>
      <c r="D1" s="1"/>
      <c r="E1" s="1"/>
      <c r="F1" s="1"/>
      <c r="G1" s="1"/>
      <c r="H1" s="1"/>
      <c r="I1" s="1"/>
      <c r="J1" s="1"/>
      <c r="K1" s="1"/>
    </row>
    <row r="2" spans="1:11">
      <c r="A2" s="1"/>
      <c r="B2" s="8" t="s">
        <v>1</v>
      </c>
      <c r="C2" s="1"/>
      <c r="D2" s="1"/>
      <c r="E2" s="1"/>
      <c r="F2" s="1"/>
      <c r="G2" s="1"/>
      <c r="H2" s="1"/>
      <c r="I2" s="1"/>
      <c r="J2" s="1"/>
      <c r="K2" s="1"/>
    </row>
    <row r="3" spans="1:11">
      <c r="A3" s="1"/>
      <c r="B3" s="1"/>
      <c r="C3" s="1" t="s">
        <v>9</v>
      </c>
      <c r="D3" s="9"/>
      <c r="E3" s="1"/>
      <c r="F3" s="1"/>
      <c r="G3" s="1"/>
      <c r="H3" s="1"/>
      <c r="I3" s="1"/>
      <c r="J3" s="1"/>
      <c r="K3" s="1"/>
    </row>
    <row r="4" spans="1:11" ht="6" customHeight="1">
      <c r="A4" s="1"/>
      <c r="B4" s="1"/>
      <c r="C4" s="1"/>
      <c r="D4" s="9"/>
      <c r="E4" s="1"/>
      <c r="F4" s="1"/>
      <c r="G4" s="1"/>
      <c r="H4" s="1"/>
      <c r="I4" s="1"/>
      <c r="J4" s="1"/>
      <c r="K4" s="1"/>
    </row>
    <row r="5" spans="1:11">
      <c r="A5" s="1"/>
      <c r="B5" s="1" t="s">
        <v>6</v>
      </c>
      <c r="C5" s="1"/>
      <c r="D5" s="1"/>
      <c r="E5" s="1"/>
      <c r="F5" s="1"/>
      <c r="G5" s="1"/>
      <c r="H5" s="1"/>
      <c r="I5" s="1"/>
      <c r="J5" s="1"/>
      <c r="K5" s="1"/>
    </row>
    <row r="6" spans="1:11" ht="6" customHeight="1">
      <c r="A6" s="1"/>
      <c r="B6" s="1"/>
      <c r="C6" s="1"/>
      <c r="D6" s="1"/>
      <c r="E6" s="1"/>
      <c r="F6" s="1"/>
      <c r="G6" s="1"/>
      <c r="H6" s="1"/>
      <c r="I6" s="1"/>
      <c r="J6" s="1"/>
      <c r="K6" s="1"/>
    </row>
    <row r="7" spans="1:11">
      <c r="A7" s="1"/>
      <c r="B7" s="1" t="s">
        <v>4</v>
      </c>
      <c r="C7" s="1"/>
      <c r="D7" s="1"/>
      <c r="E7" s="1"/>
      <c r="F7" s="1"/>
      <c r="G7" s="1"/>
      <c r="H7" s="1"/>
      <c r="I7" s="1"/>
      <c r="J7" s="1"/>
      <c r="K7" s="1"/>
    </row>
    <row r="8" spans="1:11">
      <c r="A8" s="1"/>
      <c r="B8" s="1" t="s">
        <v>12</v>
      </c>
      <c r="C8" s="10"/>
      <c r="D8" s="14"/>
      <c r="E8" s="1"/>
      <c r="F8" s="1"/>
      <c r="G8" s="1"/>
      <c r="H8" s="1"/>
      <c r="I8" s="1"/>
      <c r="J8" s="1"/>
      <c r="K8" s="1"/>
    </row>
    <row r="9" spans="1:11">
      <c r="A9" s="1"/>
      <c r="B9" s="1" t="s">
        <v>13</v>
      </c>
      <c r="C9" s="1"/>
      <c r="D9" s="1"/>
      <c r="E9" s="1"/>
      <c r="F9" s="1"/>
      <c r="G9" s="1"/>
      <c r="H9" s="1"/>
      <c r="I9" s="1"/>
      <c r="J9" s="1"/>
      <c r="K9" s="1"/>
    </row>
    <row r="10" spans="1:11" ht="6" customHeight="1">
      <c r="A10" s="1"/>
      <c r="B10" s="1"/>
      <c r="C10" s="1"/>
      <c r="D10" s="1"/>
      <c r="E10" s="1"/>
      <c r="F10" s="1"/>
      <c r="G10" s="1"/>
      <c r="H10" s="1"/>
      <c r="I10" s="1"/>
      <c r="J10" s="1"/>
      <c r="K10" s="1"/>
    </row>
    <row r="11" spans="1:11">
      <c r="A11" s="1"/>
      <c r="B11" s="1" t="s">
        <v>7</v>
      </c>
      <c r="C11" s="1"/>
      <c r="D11" s="1"/>
      <c r="E11" s="1"/>
      <c r="F11" s="1"/>
      <c r="G11" s="1"/>
      <c r="H11" s="1"/>
      <c r="I11" s="1"/>
      <c r="J11" s="1"/>
      <c r="K11" s="1"/>
    </row>
    <row r="12" spans="1:11" ht="6" customHeight="1">
      <c r="A12" s="1"/>
      <c r="B12" s="1"/>
      <c r="C12" s="1"/>
      <c r="D12" s="1"/>
      <c r="E12" s="1"/>
      <c r="F12" s="1"/>
      <c r="G12" s="1"/>
      <c r="H12" s="1"/>
      <c r="I12" s="1"/>
      <c r="J12" s="1"/>
      <c r="K12" s="1"/>
    </row>
    <row r="13" spans="1:11" ht="6" customHeight="1">
      <c r="A13" s="1"/>
      <c r="B13" s="1"/>
      <c r="C13" s="1"/>
      <c r="D13" s="1"/>
      <c r="E13" s="1"/>
      <c r="F13" s="1"/>
      <c r="G13" s="1"/>
      <c r="H13" s="1"/>
      <c r="I13" s="1"/>
      <c r="J13" s="1"/>
      <c r="K13" s="1"/>
    </row>
    <row r="14" spans="1:11">
      <c r="A14" s="1"/>
      <c r="B14" s="1"/>
      <c r="C14" s="1"/>
      <c r="D14" s="1"/>
      <c r="E14" s="1"/>
      <c r="F14" s="1"/>
      <c r="G14" s="1"/>
      <c r="H14" s="1"/>
      <c r="I14" s="1"/>
      <c r="J14" s="1"/>
      <c r="K14" s="1"/>
    </row>
    <row r="15" spans="1:11">
      <c r="A15" s="1"/>
      <c r="B15" s="1"/>
      <c r="C15" s="1"/>
      <c r="D15" s="1"/>
      <c r="E15" s="1"/>
      <c r="F15" s="1"/>
      <c r="G15" s="1"/>
      <c r="H15" s="1"/>
      <c r="I15" s="1"/>
      <c r="J15" s="1"/>
      <c r="K15" s="1"/>
    </row>
    <row r="16" spans="1:11" ht="6" customHeight="1">
      <c r="A16" s="1"/>
      <c r="B16" s="1"/>
      <c r="C16" s="1"/>
      <c r="D16" s="1"/>
      <c r="E16" s="1"/>
      <c r="F16" s="1"/>
      <c r="G16" s="1"/>
      <c r="H16" s="1"/>
      <c r="I16" s="1"/>
      <c r="J16" s="1"/>
      <c r="K16" s="1"/>
    </row>
    <row r="17" spans="1:11">
      <c r="A17" s="1"/>
      <c r="B17" s="8" t="s">
        <v>10</v>
      </c>
      <c r="C17" s="1"/>
      <c r="D17" s="1"/>
      <c r="E17" s="1"/>
      <c r="F17" s="1"/>
      <c r="G17" s="1"/>
      <c r="H17" s="1"/>
      <c r="I17" s="1"/>
      <c r="J17" s="1"/>
      <c r="K17" s="1"/>
    </row>
    <row r="18" spans="1:11" ht="6" customHeight="1">
      <c r="A18" s="1"/>
      <c r="B18" s="1"/>
      <c r="C18" s="1"/>
      <c r="D18" s="1"/>
      <c r="E18" s="1"/>
      <c r="F18" s="1"/>
      <c r="G18" s="1"/>
      <c r="H18" s="1"/>
      <c r="I18" s="1"/>
      <c r="J18" s="1"/>
      <c r="K18" s="1"/>
    </row>
    <row r="19" spans="1:11">
      <c r="A19" s="1"/>
      <c r="B19" s="8" t="s">
        <v>11</v>
      </c>
      <c r="C19" s="1"/>
      <c r="D19" s="1"/>
      <c r="E19" s="1"/>
      <c r="F19" s="1"/>
      <c r="G19" s="1"/>
      <c r="H19" s="1"/>
      <c r="I19" s="1"/>
      <c r="J19" s="1"/>
      <c r="K19" s="1"/>
    </row>
    <row r="20" spans="1:11">
      <c r="A20" s="1"/>
      <c r="B20" s="1" t="s">
        <v>2</v>
      </c>
      <c r="C20" s="1"/>
      <c r="D20" s="1"/>
      <c r="E20" s="1"/>
      <c r="F20" s="1"/>
      <c r="G20" s="1"/>
      <c r="H20" s="1"/>
      <c r="I20" s="1"/>
      <c r="J20" s="1"/>
      <c r="K20" s="1"/>
    </row>
    <row r="21" spans="1:11">
      <c r="A21" s="1"/>
      <c r="B21" s="1" t="s">
        <v>3</v>
      </c>
      <c r="C21" s="1"/>
      <c r="D21" s="1"/>
      <c r="E21" s="1"/>
      <c r="F21" s="1"/>
      <c r="G21" s="1"/>
      <c r="H21" s="1"/>
      <c r="I21" s="1"/>
      <c r="J21" s="1"/>
      <c r="K21" s="1"/>
    </row>
    <row r="22" spans="1:11" ht="6" customHeight="1">
      <c r="A22" s="1"/>
      <c r="B22" s="1"/>
      <c r="C22" s="1"/>
      <c r="D22" s="1"/>
      <c r="E22" s="1"/>
      <c r="F22" s="1"/>
      <c r="G22" s="1"/>
      <c r="H22" s="1"/>
      <c r="I22" s="1"/>
      <c r="J22" s="1"/>
      <c r="K22" s="1"/>
    </row>
    <row r="23" spans="1:11">
      <c r="A23" s="1"/>
      <c r="B23" s="1" t="s">
        <v>8</v>
      </c>
      <c r="C23" s="1"/>
      <c r="D23" s="1"/>
      <c r="E23" s="1"/>
      <c r="F23" s="1"/>
      <c r="G23" s="1"/>
      <c r="H23" s="1"/>
      <c r="I23" s="1"/>
      <c r="J23" s="1"/>
      <c r="K23" s="1"/>
    </row>
    <row r="24" spans="1:11">
      <c r="A24" s="1"/>
      <c r="B24" s="1"/>
      <c r="C24" s="1"/>
      <c r="D24" s="1"/>
      <c r="E24" s="1"/>
      <c r="F24" s="1"/>
      <c r="G24" s="1"/>
      <c r="H24" s="1"/>
      <c r="I24" s="1"/>
      <c r="J24" s="1"/>
      <c r="K24" s="1"/>
    </row>
  </sheetData>
  <customSheetViews>
    <customSheetView guid="{3C5E1D3F-5FA3-4647-8E92-8A4101241118}" showGridLines="0" showRowCol="0" state="hidden" showRuler="0">
      <selection activeCell="C20" sqref="C20"/>
      <pageMargins left="0.75" right="0.75" top="1" bottom="1" header="0.51200000000000001" footer="0.51200000000000001"/>
      <pageSetup paperSize="9" orientation="portrait" horizontalDpi="360" verticalDpi="360" copies="0" r:id="rId1"/>
      <headerFooter alignWithMargins="0"/>
    </customSheetView>
  </customSheetViews>
  <phoneticPr fontId="2"/>
  <pageMargins left="0.75" right="0.75" top="1" bottom="1" header="0.51200000000000001" footer="0.51200000000000001"/>
  <pageSetup paperSize="9" orientation="portrait" horizontalDpi="360" verticalDpi="360" r:id="rId2"/>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autoPageBreaks="0" fitToPage="1"/>
  </sheetPr>
  <dimension ref="B1:AD101"/>
  <sheetViews>
    <sheetView zoomScale="85" zoomScaleNormal="100" zoomScaleSheetLayoutView="40" workbookViewId="0">
      <selection activeCell="L9" sqref="L9"/>
    </sheetView>
  </sheetViews>
  <sheetFormatPr baseColWidth="10" defaultColWidth="8.83203125" defaultRowHeight="14"/>
  <cols>
    <col min="1" max="1" width="1.6640625" customWidth="1"/>
    <col min="2" max="2" width="18" customWidth="1"/>
    <col min="3" max="7" width="9.1640625" customWidth="1"/>
    <col min="8" max="8" width="3" customWidth="1"/>
    <col min="9" max="10" width="9.1640625" customWidth="1"/>
    <col min="11" max="11" width="3" customWidth="1"/>
    <col min="12" max="13" width="9.1640625" customWidth="1"/>
    <col min="14" max="14" width="3" customWidth="1"/>
    <col min="15" max="16" width="9.1640625" customWidth="1"/>
    <col min="17" max="17" width="3" customWidth="1"/>
    <col min="18" max="19" width="9.1640625" customWidth="1"/>
    <col min="20" max="20" width="3" customWidth="1"/>
    <col min="21" max="22" width="9.1640625" customWidth="1"/>
    <col min="23" max="23" width="3" customWidth="1"/>
    <col min="24" max="24" width="9.1640625" customWidth="1"/>
    <col min="25" max="25" width="12.83203125" style="15" customWidth="1"/>
    <col min="26" max="26" width="12.83203125" customWidth="1"/>
    <col min="27" max="27" width="43.83203125" customWidth="1"/>
    <col min="28" max="28" width="31.83203125" customWidth="1"/>
    <col min="29" max="30" width="5.1640625" customWidth="1"/>
    <col min="31" max="31" width="8.83203125" customWidth="1"/>
  </cols>
  <sheetData>
    <row r="1" spans="2:30" ht="21.75" customHeight="1">
      <c r="C1" s="57"/>
      <c r="D1" s="57"/>
      <c r="E1" s="57"/>
      <c r="F1" s="57"/>
      <c r="G1" s="57"/>
      <c r="H1" s="57"/>
      <c r="I1" s="83" t="s">
        <v>130</v>
      </c>
      <c r="J1" s="83" t="s">
        <v>131</v>
      </c>
      <c r="K1" s="57"/>
      <c r="L1" s="57"/>
      <c r="M1" s="269" t="s">
        <v>16</v>
      </c>
      <c r="N1" s="269"/>
      <c r="O1" s="269"/>
      <c r="P1" s="269"/>
      <c r="Q1" s="269"/>
      <c r="R1" s="269"/>
      <c r="S1" s="269"/>
      <c r="T1" s="269"/>
      <c r="U1" s="269"/>
      <c r="V1" s="57"/>
      <c r="W1" s="57"/>
      <c r="X1" s="57"/>
      <c r="Y1" s="57"/>
      <c r="Z1" s="57"/>
    </row>
    <row r="2" spans="2:30" ht="20.25" customHeight="1">
      <c r="G2" s="145">
        <v>2012</v>
      </c>
      <c r="H2" s="80" t="s">
        <v>19</v>
      </c>
      <c r="I2" s="145">
        <v>6</v>
      </c>
      <c r="J2" s="145">
        <v>7</v>
      </c>
      <c r="K2" s="80" t="s">
        <v>21</v>
      </c>
      <c r="L2" s="69"/>
      <c r="M2" s="69"/>
      <c r="N2" s="69"/>
      <c r="O2" s="69"/>
      <c r="P2" s="69"/>
      <c r="Q2" s="69"/>
      <c r="R2" s="69"/>
      <c r="S2" s="69"/>
      <c r="T2" s="69"/>
      <c r="U2" s="69"/>
      <c r="V2" s="69"/>
      <c r="W2" s="69"/>
      <c r="X2" s="69"/>
      <c r="Y2" s="81"/>
      <c r="Z2" s="82"/>
    </row>
    <row r="3" spans="2:30" ht="12.75" customHeight="1">
      <c r="F3" s="23"/>
      <c r="G3" s="280" t="s">
        <v>31</v>
      </c>
      <c r="H3" s="280"/>
      <c r="I3" s="280"/>
      <c r="J3" s="279" t="s">
        <v>128</v>
      </c>
      <c r="K3" s="279"/>
      <c r="L3" s="279"/>
      <c r="M3" s="69"/>
      <c r="N3" s="69"/>
      <c r="O3" s="69"/>
      <c r="P3" s="69"/>
      <c r="Q3" s="69"/>
      <c r="R3" s="69"/>
      <c r="S3" s="284" t="s">
        <v>28</v>
      </c>
      <c r="T3" s="284"/>
      <c r="U3" s="284"/>
      <c r="V3" s="266" t="s">
        <v>137</v>
      </c>
      <c r="W3" s="266"/>
      <c r="X3" s="266"/>
      <c r="Y3" s="267" t="s">
        <v>29</v>
      </c>
      <c r="Z3" s="268" t="s">
        <v>82</v>
      </c>
      <c r="AB3" s="19" t="s">
        <v>110</v>
      </c>
      <c r="AC3" s="59">
        <v>0</v>
      </c>
    </row>
    <row r="4" spans="2:30" ht="13.25" customHeight="1">
      <c r="E4" s="17"/>
      <c r="F4" s="17"/>
      <c r="G4" s="280" t="s">
        <v>30</v>
      </c>
      <c r="H4" s="280"/>
      <c r="I4" s="280"/>
      <c r="J4" s="279" t="s">
        <v>129</v>
      </c>
      <c r="K4" s="279"/>
      <c r="L4" s="279"/>
      <c r="M4" s="280" t="s">
        <v>27</v>
      </c>
      <c r="N4" s="280"/>
      <c r="O4" s="280"/>
      <c r="P4" s="279" t="s">
        <v>24</v>
      </c>
      <c r="Q4" s="279"/>
      <c r="R4" s="279"/>
      <c r="S4" s="284"/>
      <c r="T4" s="284"/>
      <c r="U4" s="284"/>
      <c r="V4" s="266"/>
      <c r="W4" s="266"/>
      <c r="X4" s="266"/>
      <c r="Y4" s="267"/>
      <c r="Z4" s="268"/>
      <c r="AA4" s="144"/>
      <c r="AB4" s="19" t="s">
        <v>111</v>
      </c>
      <c r="AC4" s="59">
        <v>1</v>
      </c>
    </row>
    <row r="5" spans="2:30" ht="6.75" customHeight="1"/>
    <row r="6" spans="2:30" ht="6" customHeight="1">
      <c r="B6" s="3"/>
      <c r="C6" s="3"/>
      <c r="D6" s="3"/>
      <c r="E6" s="3"/>
      <c r="F6" s="3"/>
      <c r="G6" s="5"/>
      <c r="H6" s="5"/>
      <c r="I6" s="6"/>
      <c r="J6" s="6"/>
      <c r="K6" s="7"/>
      <c r="L6" s="7"/>
      <c r="M6" s="7"/>
      <c r="N6" s="7"/>
      <c r="O6" s="6"/>
      <c r="P6" s="6"/>
      <c r="Q6" s="7"/>
      <c r="R6" s="7"/>
      <c r="S6" s="7"/>
      <c r="T6" s="7"/>
      <c r="U6" s="6"/>
      <c r="V6" s="6"/>
      <c r="W6" s="7"/>
      <c r="X6" s="2"/>
      <c r="Y6" s="16"/>
      <c r="Z6" s="4"/>
    </row>
    <row r="7" spans="2:30" ht="31.5" customHeight="1">
      <c r="B7" s="65" t="s">
        <v>56</v>
      </c>
      <c r="C7" s="66" t="s">
        <v>104</v>
      </c>
      <c r="D7" s="66" t="s">
        <v>105</v>
      </c>
      <c r="E7" s="66" t="s">
        <v>106</v>
      </c>
      <c r="F7" s="66" t="s">
        <v>107</v>
      </c>
      <c r="G7" s="278" t="s">
        <v>14</v>
      </c>
      <c r="H7" s="273"/>
      <c r="I7" s="273"/>
      <c r="J7" s="273" t="s">
        <v>132</v>
      </c>
      <c r="K7" s="273"/>
      <c r="L7" s="274"/>
      <c r="M7" s="277" t="s">
        <v>15</v>
      </c>
      <c r="N7" s="275"/>
      <c r="O7" s="275"/>
      <c r="P7" s="275" t="s">
        <v>20</v>
      </c>
      <c r="Q7" s="275"/>
      <c r="R7" s="276"/>
      <c r="S7" s="281" t="s">
        <v>133</v>
      </c>
      <c r="T7" s="282"/>
      <c r="U7" s="283"/>
      <c r="V7" s="281" t="s">
        <v>134</v>
      </c>
      <c r="W7" s="282"/>
      <c r="X7" s="283"/>
      <c r="Y7" s="67" t="s">
        <v>22</v>
      </c>
      <c r="Z7" s="288" t="s">
        <v>17</v>
      </c>
      <c r="AA7" s="288"/>
    </row>
    <row r="8" spans="2:30" ht="13.25" hidden="1" customHeight="1">
      <c r="B8" s="68"/>
      <c r="C8" s="69"/>
      <c r="D8" s="69"/>
      <c r="E8" s="69"/>
      <c r="F8" s="69"/>
      <c r="G8" s="70" t="s">
        <v>135</v>
      </c>
      <c r="H8" s="71"/>
      <c r="I8" s="70" t="s">
        <v>136</v>
      </c>
      <c r="J8" s="70" t="s">
        <v>135</v>
      </c>
      <c r="K8" s="71"/>
      <c r="L8" s="70" t="s">
        <v>136</v>
      </c>
      <c r="M8" s="72" t="s">
        <v>135</v>
      </c>
      <c r="N8" s="73"/>
      <c r="O8" s="72" t="s">
        <v>136</v>
      </c>
      <c r="P8" s="72" t="s">
        <v>135</v>
      </c>
      <c r="Q8" s="73"/>
      <c r="R8" s="72" t="s">
        <v>136</v>
      </c>
      <c r="S8" s="74" t="s">
        <v>135</v>
      </c>
      <c r="T8" s="75"/>
      <c r="U8" s="74" t="s">
        <v>136</v>
      </c>
      <c r="V8" s="74" t="s">
        <v>135</v>
      </c>
      <c r="W8" s="75"/>
      <c r="X8" s="74" t="s">
        <v>136</v>
      </c>
      <c r="Y8" s="68"/>
      <c r="Z8" s="76"/>
    </row>
    <row r="9" spans="2:30" ht="18" customHeight="1">
      <c r="B9" s="77">
        <f>DATE(G2,I2,21)</f>
        <v>41081</v>
      </c>
      <c r="C9" s="270"/>
      <c r="D9" s="270"/>
      <c r="E9" s="270"/>
      <c r="F9" s="270"/>
      <c r="G9" s="84"/>
      <c r="H9" s="85" t="s">
        <v>126</v>
      </c>
      <c r="I9" s="86"/>
      <c r="J9" s="87"/>
      <c r="K9" s="85" t="s">
        <v>126</v>
      </c>
      <c r="L9" s="88"/>
      <c r="M9" s="124" t="str">
        <f>IF(G9&lt;&gt;"",G9,"")</f>
        <v/>
      </c>
      <c r="N9" s="89" t="s">
        <v>126</v>
      </c>
      <c r="O9" s="125" t="str">
        <f>IF(I9&lt;&gt;"",I9,"")</f>
        <v/>
      </c>
      <c r="P9" s="126" t="str">
        <f>IF(J9&lt;&gt;"",J9,"")</f>
        <v/>
      </c>
      <c r="Q9" s="89" t="s">
        <v>126</v>
      </c>
      <c r="R9" s="127" t="str">
        <f>IF(L9&lt;&gt;"",L9,"")</f>
        <v/>
      </c>
      <c r="S9" s="128" t="str">
        <f t="shared" ref="S9:S57" si="0">IF(M9&lt;&gt;"",M9,"")</f>
        <v/>
      </c>
      <c r="T9" s="121" t="s">
        <v>126</v>
      </c>
      <c r="U9" s="129" t="str">
        <f>IF(O9&lt;&gt;"",O9,"")</f>
        <v/>
      </c>
      <c r="V9" s="130" t="str">
        <f>IF(P9&lt;&gt;"",P9,"")</f>
        <v/>
      </c>
      <c r="W9" s="121" t="s">
        <v>126</v>
      </c>
      <c r="X9" s="129" t="str">
        <f>IF(R9&lt;&gt;"",R9,"")</f>
        <v/>
      </c>
      <c r="Y9" s="285">
        <f>処理用!P9</f>
        <v>0</v>
      </c>
      <c r="Z9" s="112"/>
      <c r="AA9" s="118"/>
      <c r="AB9" s="11"/>
      <c r="AC9" s="11"/>
      <c r="AD9" s="11"/>
    </row>
    <row r="10" spans="2:30" ht="18" customHeight="1">
      <c r="B10" s="78" t="str">
        <f>TEXT(WEEKDAY(B9,1),"(aaa)")</f>
        <v>(木)</v>
      </c>
      <c r="C10" s="271"/>
      <c r="D10" s="271"/>
      <c r="E10" s="271"/>
      <c r="F10" s="271"/>
      <c r="G10" s="90"/>
      <c r="H10" s="91" t="s">
        <v>126</v>
      </c>
      <c r="I10" s="92"/>
      <c r="J10" s="93"/>
      <c r="K10" s="91" t="s">
        <v>126</v>
      </c>
      <c r="L10" s="94"/>
      <c r="M10" s="131" t="str">
        <f t="shared" ref="M10:M57" si="1">IF(G10&lt;&gt;"",G10,"")</f>
        <v/>
      </c>
      <c r="N10" s="95" t="s">
        <v>126</v>
      </c>
      <c r="O10" s="132" t="str">
        <f t="shared" ref="O10:O57" si="2">IF(I10&lt;&gt;"",I10,"")</f>
        <v/>
      </c>
      <c r="P10" s="133" t="str">
        <f t="shared" ref="P10:P57" si="3">IF(J10&lt;&gt;"",J10,"")</f>
        <v/>
      </c>
      <c r="Q10" s="95" t="s">
        <v>126</v>
      </c>
      <c r="R10" s="134" t="str">
        <f t="shared" ref="R10:R57" si="4">IF(L10&lt;&gt;"",L10,"")</f>
        <v/>
      </c>
      <c r="S10" s="128" t="str">
        <f t="shared" si="0"/>
        <v/>
      </c>
      <c r="T10" s="122" t="s">
        <v>126</v>
      </c>
      <c r="U10" s="135" t="str">
        <f t="shared" ref="U10:U57" si="5">IF(O10&lt;&gt;"",O10,"")</f>
        <v/>
      </c>
      <c r="V10" s="128" t="str">
        <f t="shared" ref="V10:V57" si="6">IF(P10&lt;&gt;"",P10,"")</f>
        <v/>
      </c>
      <c r="W10" s="122" t="s">
        <v>126</v>
      </c>
      <c r="X10" s="135" t="str">
        <f t="shared" ref="X10:X57" si="7">IF(R10&lt;&gt;"",R10,"")</f>
        <v/>
      </c>
      <c r="Y10" s="286"/>
      <c r="Z10" s="113"/>
      <c r="AA10" s="119"/>
      <c r="AB10" s="12"/>
      <c r="AC10" s="12"/>
      <c r="AD10" s="12"/>
    </row>
    <row r="11" spans="2:30" ht="18" customHeight="1">
      <c r="B11" s="79" t="s">
        <v>83</v>
      </c>
      <c r="C11" s="271"/>
      <c r="D11" s="271"/>
      <c r="E11" s="271"/>
      <c r="F11" s="271"/>
      <c r="G11" s="90"/>
      <c r="H11" s="91" t="s">
        <v>126</v>
      </c>
      <c r="I11" s="92"/>
      <c r="J11" s="93"/>
      <c r="K11" s="91" t="s">
        <v>126</v>
      </c>
      <c r="L11" s="94"/>
      <c r="M11" s="131" t="str">
        <f t="shared" si="1"/>
        <v/>
      </c>
      <c r="N11" s="95" t="s">
        <v>126</v>
      </c>
      <c r="O11" s="132" t="str">
        <f t="shared" si="2"/>
        <v/>
      </c>
      <c r="P11" s="133" t="str">
        <f t="shared" si="3"/>
        <v/>
      </c>
      <c r="Q11" s="95" t="s">
        <v>126</v>
      </c>
      <c r="R11" s="134" t="str">
        <f t="shared" si="4"/>
        <v/>
      </c>
      <c r="S11" s="128" t="str">
        <f t="shared" si="0"/>
        <v/>
      </c>
      <c r="T11" s="122" t="s">
        <v>126</v>
      </c>
      <c r="U11" s="135" t="str">
        <f t="shared" si="5"/>
        <v/>
      </c>
      <c r="V11" s="128" t="str">
        <f t="shared" si="6"/>
        <v/>
      </c>
      <c r="W11" s="122" t="s">
        <v>126</v>
      </c>
      <c r="X11" s="135" t="str">
        <f t="shared" si="7"/>
        <v/>
      </c>
      <c r="Y11" s="286"/>
      <c r="Z11" s="113"/>
      <c r="AA11" s="120"/>
      <c r="AB11" s="12"/>
      <c r="AC11" s="12"/>
      <c r="AD11" s="12"/>
    </row>
    <row r="12" spans="2:30" ht="18" customHeight="1">
      <c r="B12" s="77">
        <f>IF(B9&lt;&gt;"",IF(MONTH(B9)&lt;&gt;MONTH(B9+1),"",B9+1),"")</f>
        <v>41082</v>
      </c>
      <c r="C12" s="270"/>
      <c r="D12" s="270"/>
      <c r="E12" s="270"/>
      <c r="F12" s="270"/>
      <c r="G12" s="84"/>
      <c r="H12" s="85" t="s">
        <v>126</v>
      </c>
      <c r="I12" s="86"/>
      <c r="J12" s="87"/>
      <c r="K12" s="85" t="s">
        <v>126</v>
      </c>
      <c r="L12" s="88"/>
      <c r="M12" s="124" t="str">
        <f t="shared" si="1"/>
        <v/>
      </c>
      <c r="N12" s="89" t="s">
        <v>126</v>
      </c>
      <c r="O12" s="125" t="str">
        <f t="shared" si="2"/>
        <v/>
      </c>
      <c r="P12" s="126" t="str">
        <f t="shared" si="3"/>
        <v/>
      </c>
      <c r="Q12" s="89" t="s">
        <v>126</v>
      </c>
      <c r="R12" s="127" t="str">
        <f t="shared" si="4"/>
        <v/>
      </c>
      <c r="S12" s="130" t="str">
        <f t="shared" si="0"/>
        <v/>
      </c>
      <c r="T12" s="121" t="s">
        <v>126</v>
      </c>
      <c r="U12" s="129" t="str">
        <f t="shared" si="5"/>
        <v/>
      </c>
      <c r="V12" s="130" t="str">
        <f t="shared" si="6"/>
        <v/>
      </c>
      <c r="W12" s="121" t="s">
        <v>126</v>
      </c>
      <c r="X12" s="129" t="str">
        <f t="shared" si="7"/>
        <v/>
      </c>
      <c r="Y12" s="285">
        <f>処理用!P12</f>
        <v>0</v>
      </c>
      <c r="Z12" s="112"/>
      <c r="AA12" s="118"/>
      <c r="AB12" s="4" t="s">
        <v>0</v>
      </c>
    </row>
    <row r="13" spans="2:30" ht="18" customHeight="1">
      <c r="B13" s="78" t="str">
        <f>IF(B12&lt;&gt;"",TEXT(WEEKDAY(B12,1),"(aaa)"),"")</f>
        <v>(金)</v>
      </c>
      <c r="C13" s="271"/>
      <c r="D13" s="271"/>
      <c r="E13" s="271"/>
      <c r="F13" s="271"/>
      <c r="G13" s="90"/>
      <c r="H13" s="91" t="s">
        <v>126</v>
      </c>
      <c r="I13" s="92"/>
      <c r="J13" s="93"/>
      <c r="K13" s="91" t="s">
        <v>126</v>
      </c>
      <c r="L13" s="94"/>
      <c r="M13" s="131" t="str">
        <f t="shared" si="1"/>
        <v/>
      </c>
      <c r="N13" s="95" t="s">
        <v>126</v>
      </c>
      <c r="O13" s="132" t="str">
        <f t="shared" si="2"/>
        <v/>
      </c>
      <c r="P13" s="133" t="str">
        <f t="shared" si="3"/>
        <v/>
      </c>
      <c r="Q13" s="95" t="s">
        <v>126</v>
      </c>
      <c r="R13" s="134" t="str">
        <f t="shared" si="4"/>
        <v/>
      </c>
      <c r="S13" s="128" t="str">
        <f t="shared" si="0"/>
        <v/>
      </c>
      <c r="T13" s="122" t="s">
        <v>126</v>
      </c>
      <c r="U13" s="135" t="str">
        <f t="shared" si="5"/>
        <v/>
      </c>
      <c r="V13" s="128" t="str">
        <f t="shared" si="6"/>
        <v/>
      </c>
      <c r="W13" s="122" t="s">
        <v>126</v>
      </c>
      <c r="X13" s="135" t="str">
        <f t="shared" si="7"/>
        <v/>
      </c>
      <c r="Y13" s="286"/>
      <c r="Z13" s="113"/>
      <c r="AA13" s="119"/>
    </row>
    <row r="14" spans="2:30" ht="18" customHeight="1">
      <c r="B14" s="79" t="s">
        <v>86</v>
      </c>
      <c r="C14" s="271"/>
      <c r="D14" s="271"/>
      <c r="E14" s="271"/>
      <c r="F14" s="271"/>
      <c r="G14" s="90"/>
      <c r="H14" s="91" t="s">
        <v>126</v>
      </c>
      <c r="I14" s="92"/>
      <c r="J14" s="93"/>
      <c r="K14" s="91" t="s">
        <v>126</v>
      </c>
      <c r="L14" s="94"/>
      <c r="M14" s="131" t="str">
        <f t="shared" si="1"/>
        <v/>
      </c>
      <c r="N14" s="95" t="s">
        <v>126</v>
      </c>
      <c r="O14" s="132" t="str">
        <f t="shared" si="2"/>
        <v/>
      </c>
      <c r="P14" s="133" t="str">
        <f t="shared" si="3"/>
        <v/>
      </c>
      <c r="Q14" s="95" t="s">
        <v>126</v>
      </c>
      <c r="R14" s="134" t="str">
        <f t="shared" si="4"/>
        <v/>
      </c>
      <c r="S14" s="128" t="str">
        <f t="shared" si="0"/>
        <v/>
      </c>
      <c r="T14" s="122" t="s">
        <v>126</v>
      </c>
      <c r="U14" s="135" t="str">
        <f t="shared" si="5"/>
        <v/>
      </c>
      <c r="V14" s="128" t="str">
        <f t="shared" si="6"/>
        <v/>
      </c>
      <c r="W14" s="122" t="s">
        <v>126</v>
      </c>
      <c r="X14" s="135" t="str">
        <f t="shared" si="7"/>
        <v/>
      </c>
      <c r="Y14" s="286"/>
      <c r="Z14" s="113"/>
      <c r="AA14" s="120"/>
      <c r="AB14" s="12"/>
      <c r="AC14" s="12"/>
      <c r="AD14" s="12"/>
    </row>
    <row r="15" spans="2:30" ht="18" customHeight="1">
      <c r="B15" s="77">
        <f>IF(B12&lt;&gt;"",IF(MONTH(B12)&lt;&gt;MONTH(B12+1),"",B12+1),"")</f>
        <v>41083</v>
      </c>
      <c r="C15" s="270"/>
      <c r="D15" s="270"/>
      <c r="E15" s="270"/>
      <c r="F15" s="270"/>
      <c r="G15" s="84"/>
      <c r="H15" s="85" t="s">
        <v>126</v>
      </c>
      <c r="I15" s="86"/>
      <c r="J15" s="87"/>
      <c r="K15" s="85" t="s">
        <v>126</v>
      </c>
      <c r="L15" s="88"/>
      <c r="M15" s="124" t="str">
        <f t="shared" si="1"/>
        <v/>
      </c>
      <c r="N15" s="89" t="s">
        <v>126</v>
      </c>
      <c r="O15" s="125" t="str">
        <f t="shared" si="2"/>
        <v/>
      </c>
      <c r="P15" s="126" t="str">
        <f t="shared" si="3"/>
        <v/>
      </c>
      <c r="Q15" s="89" t="s">
        <v>126</v>
      </c>
      <c r="R15" s="127" t="str">
        <f t="shared" si="4"/>
        <v/>
      </c>
      <c r="S15" s="130" t="str">
        <f t="shared" si="0"/>
        <v/>
      </c>
      <c r="T15" s="121" t="s">
        <v>126</v>
      </c>
      <c r="U15" s="129" t="str">
        <f t="shared" si="5"/>
        <v/>
      </c>
      <c r="V15" s="130" t="str">
        <f t="shared" si="6"/>
        <v/>
      </c>
      <c r="W15" s="121" t="s">
        <v>126</v>
      </c>
      <c r="X15" s="129" t="str">
        <f t="shared" si="7"/>
        <v/>
      </c>
      <c r="Y15" s="285">
        <f>処理用!P15</f>
        <v>0</v>
      </c>
      <c r="Z15" s="112"/>
      <c r="AA15" s="118"/>
    </row>
    <row r="16" spans="2:30" ht="18" customHeight="1">
      <c r="B16" s="78" t="str">
        <f>IF(B15&lt;&gt;"",TEXT(WEEKDAY(B15,1),"(aaa)"),"")</f>
        <v>(土)</v>
      </c>
      <c r="C16" s="271"/>
      <c r="D16" s="271"/>
      <c r="E16" s="271"/>
      <c r="F16" s="271"/>
      <c r="G16" s="90"/>
      <c r="H16" s="91" t="s">
        <v>126</v>
      </c>
      <c r="I16" s="92"/>
      <c r="J16" s="93"/>
      <c r="K16" s="91" t="s">
        <v>126</v>
      </c>
      <c r="L16" s="94"/>
      <c r="M16" s="131" t="str">
        <f t="shared" si="1"/>
        <v/>
      </c>
      <c r="N16" s="95" t="s">
        <v>126</v>
      </c>
      <c r="O16" s="132" t="str">
        <f t="shared" si="2"/>
        <v/>
      </c>
      <c r="P16" s="133" t="str">
        <f t="shared" si="3"/>
        <v/>
      </c>
      <c r="Q16" s="95" t="s">
        <v>126</v>
      </c>
      <c r="R16" s="134" t="str">
        <f t="shared" si="4"/>
        <v/>
      </c>
      <c r="S16" s="128" t="str">
        <f t="shared" si="0"/>
        <v/>
      </c>
      <c r="T16" s="122" t="s">
        <v>126</v>
      </c>
      <c r="U16" s="135" t="str">
        <f t="shared" si="5"/>
        <v/>
      </c>
      <c r="V16" s="128" t="str">
        <f t="shared" si="6"/>
        <v/>
      </c>
      <c r="W16" s="122" t="s">
        <v>126</v>
      </c>
      <c r="X16" s="135" t="str">
        <f t="shared" si="7"/>
        <v/>
      </c>
      <c r="Y16" s="286"/>
      <c r="Z16" s="113"/>
      <c r="AA16" s="119"/>
    </row>
    <row r="17" spans="2:27" ht="18" customHeight="1">
      <c r="B17" s="79" t="s">
        <v>83</v>
      </c>
      <c r="C17" s="271"/>
      <c r="D17" s="271"/>
      <c r="E17" s="271"/>
      <c r="F17" s="271"/>
      <c r="G17" s="90"/>
      <c r="H17" s="91" t="s">
        <v>126</v>
      </c>
      <c r="I17" s="92"/>
      <c r="J17" s="93"/>
      <c r="K17" s="91" t="s">
        <v>126</v>
      </c>
      <c r="L17" s="94"/>
      <c r="M17" s="131" t="str">
        <f t="shared" si="1"/>
        <v/>
      </c>
      <c r="N17" s="95" t="s">
        <v>126</v>
      </c>
      <c r="O17" s="132" t="str">
        <f t="shared" si="2"/>
        <v/>
      </c>
      <c r="P17" s="133" t="str">
        <f t="shared" si="3"/>
        <v/>
      </c>
      <c r="Q17" s="95" t="s">
        <v>126</v>
      </c>
      <c r="R17" s="134" t="str">
        <f t="shared" si="4"/>
        <v/>
      </c>
      <c r="S17" s="128" t="str">
        <f t="shared" si="0"/>
        <v/>
      </c>
      <c r="T17" s="122" t="s">
        <v>126</v>
      </c>
      <c r="U17" s="135" t="str">
        <f t="shared" si="5"/>
        <v/>
      </c>
      <c r="V17" s="128" t="str">
        <f t="shared" si="6"/>
        <v/>
      </c>
      <c r="W17" s="122" t="s">
        <v>126</v>
      </c>
      <c r="X17" s="135" t="str">
        <f t="shared" si="7"/>
        <v/>
      </c>
      <c r="Y17" s="286"/>
      <c r="Z17" s="113"/>
      <c r="AA17" s="120"/>
    </row>
    <row r="18" spans="2:27" ht="18" customHeight="1">
      <c r="B18" s="77">
        <f>IF(B15&lt;&gt;"",IF(MONTH(B15)&lt;&gt;MONTH(B15+1),"",B15+1),"")</f>
        <v>41084</v>
      </c>
      <c r="C18" s="270"/>
      <c r="D18" s="270"/>
      <c r="E18" s="270"/>
      <c r="F18" s="270"/>
      <c r="G18" s="84"/>
      <c r="H18" s="85" t="s">
        <v>126</v>
      </c>
      <c r="I18" s="86"/>
      <c r="J18" s="87"/>
      <c r="K18" s="85" t="s">
        <v>126</v>
      </c>
      <c r="L18" s="88"/>
      <c r="M18" s="124" t="str">
        <f t="shared" si="1"/>
        <v/>
      </c>
      <c r="N18" s="89" t="s">
        <v>126</v>
      </c>
      <c r="O18" s="125" t="str">
        <f t="shared" si="2"/>
        <v/>
      </c>
      <c r="P18" s="126" t="str">
        <f t="shared" si="3"/>
        <v/>
      </c>
      <c r="Q18" s="89" t="s">
        <v>126</v>
      </c>
      <c r="R18" s="127" t="str">
        <f t="shared" si="4"/>
        <v/>
      </c>
      <c r="S18" s="130" t="str">
        <f t="shared" si="0"/>
        <v/>
      </c>
      <c r="T18" s="121" t="s">
        <v>126</v>
      </c>
      <c r="U18" s="129" t="str">
        <f t="shared" si="5"/>
        <v/>
      </c>
      <c r="V18" s="130" t="str">
        <f t="shared" si="6"/>
        <v/>
      </c>
      <c r="W18" s="121" t="s">
        <v>126</v>
      </c>
      <c r="X18" s="129" t="str">
        <f t="shared" si="7"/>
        <v/>
      </c>
      <c r="Y18" s="285">
        <f>処理用!P18</f>
        <v>0</v>
      </c>
      <c r="Z18" s="112"/>
      <c r="AA18" s="118"/>
    </row>
    <row r="19" spans="2:27" ht="18" customHeight="1">
      <c r="B19" s="78" t="str">
        <f>IF(B18&lt;&gt;"",TEXT(WEEKDAY(B18,1),"(aaa)"),"")</f>
        <v>(日)</v>
      </c>
      <c r="C19" s="271"/>
      <c r="D19" s="271"/>
      <c r="E19" s="271"/>
      <c r="F19" s="271"/>
      <c r="G19" s="90"/>
      <c r="H19" s="91" t="s">
        <v>126</v>
      </c>
      <c r="I19" s="92"/>
      <c r="J19" s="93"/>
      <c r="K19" s="91" t="s">
        <v>126</v>
      </c>
      <c r="L19" s="94"/>
      <c r="M19" s="131" t="str">
        <f t="shared" si="1"/>
        <v/>
      </c>
      <c r="N19" s="95" t="s">
        <v>126</v>
      </c>
      <c r="O19" s="132" t="str">
        <f t="shared" si="2"/>
        <v/>
      </c>
      <c r="P19" s="133" t="str">
        <f t="shared" si="3"/>
        <v/>
      </c>
      <c r="Q19" s="95" t="s">
        <v>126</v>
      </c>
      <c r="R19" s="134" t="str">
        <f t="shared" si="4"/>
        <v/>
      </c>
      <c r="S19" s="128" t="str">
        <f t="shared" si="0"/>
        <v/>
      </c>
      <c r="T19" s="122" t="s">
        <v>126</v>
      </c>
      <c r="U19" s="135" t="str">
        <f t="shared" si="5"/>
        <v/>
      </c>
      <c r="V19" s="128" t="str">
        <f t="shared" si="6"/>
        <v/>
      </c>
      <c r="W19" s="122" t="s">
        <v>126</v>
      </c>
      <c r="X19" s="135" t="str">
        <f t="shared" si="7"/>
        <v/>
      </c>
      <c r="Y19" s="286"/>
      <c r="Z19" s="113"/>
      <c r="AA19" s="119"/>
    </row>
    <row r="20" spans="2:27" ht="18" customHeight="1">
      <c r="B20" s="79" t="s">
        <v>83</v>
      </c>
      <c r="C20" s="271"/>
      <c r="D20" s="271"/>
      <c r="E20" s="271"/>
      <c r="F20" s="271"/>
      <c r="G20" s="90"/>
      <c r="H20" s="91" t="s">
        <v>126</v>
      </c>
      <c r="I20" s="92"/>
      <c r="J20" s="93"/>
      <c r="K20" s="91" t="s">
        <v>126</v>
      </c>
      <c r="L20" s="94"/>
      <c r="M20" s="131" t="str">
        <f t="shared" si="1"/>
        <v/>
      </c>
      <c r="N20" s="95" t="s">
        <v>126</v>
      </c>
      <c r="O20" s="132" t="str">
        <f t="shared" si="2"/>
        <v/>
      </c>
      <c r="P20" s="133" t="str">
        <f t="shared" si="3"/>
        <v/>
      </c>
      <c r="Q20" s="95" t="s">
        <v>126</v>
      </c>
      <c r="R20" s="134" t="str">
        <f t="shared" si="4"/>
        <v/>
      </c>
      <c r="S20" s="128" t="str">
        <f t="shared" si="0"/>
        <v/>
      </c>
      <c r="T20" s="122" t="s">
        <v>126</v>
      </c>
      <c r="U20" s="135" t="str">
        <f t="shared" si="5"/>
        <v/>
      </c>
      <c r="V20" s="128" t="str">
        <f t="shared" si="6"/>
        <v/>
      </c>
      <c r="W20" s="122" t="s">
        <v>126</v>
      </c>
      <c r="X20" s="135" t="str">
        <f t="shared" si="7"/>
        <v/>
      </c>
      <c r="Y20" s="286"/>
      <c r="Z20" s="113"/>
      <c r="AA20" s="120"/>
    </row>
    <row r="21" spans="2:27" ht="18" customHeight="1">
      <c r="B21" s="77">
        <f>IF(B18&lt;&gt;"",IF(MONTH(B18)&lt;&gt;MONTH(B18+1),"",B18+1),"")</f>
        <v>41085</v>
      </c>
      <c r="C21" s="270"/>
      <c r="D21" s="270"/>
      <c r="E21" s="270"/>
      <c r="F21" s="270"/>
      <c r="G21" s="84"/>
      <c r="H21" s="85" t="s">
        <v>126</v>
      </c>
      <c r="I21" s="86"/>
      <c r="J21" s="87"/>
      <c r="K21" s="85" t="s">
        <v>126</v>
      </c>
      <c r="L21" s="88"/>
      <c r="M21" s="124" t="str">
        <f t="shared" si="1"/>
        <v/>
      </c>
      <c r="N21" s="89" t="s">
        <v>126</v>
      </c>
      <c r="O21" s="125" t="str">
        <f t="shared" si="2"/>
        <v/>
      </c>
      <c r="P21" s="126" t="str">
        <f t="shared" si="3"/>
        <v/>
      </c>
      <c r="Q21" s="89" t="s">
        <v>126</v>
      </c>
      <c r="R21" s="127" t="str">
        <f t="shared" si="4"/>
        <v/>
      </c>
      <c r="S21" s="130" t="str">
        <f t="shared" si="0"/>
        <v/>
      </c>
      <c r="T21" s="121" t="s">
        <v>126</v>
      </c>
      <c r="U21" s="129" t="str">
        <f t="shared" si="5"/>
        <v/>
      </c>
      <c r="V21" s="130" t="str">
        <f t="shared" si="6"/>
        <v/>
      </c>
      <c r="W21" s="121" t="s">
        <v>126</v>
      </c>
      <c r="X21" s="129" t="str">
        <f t="shared" si="7"/>
        <v/>
      </c>
      <c r="Y21" s="285">
        <f>処理用!P21</f>
        <v>0</v>
      </c>
      <c r="Z21" s="112"/>
      <c r="AA21" s="118"/>
    </row>
    <row r="22" spans="2:27" ht="18" customHeight="1">
      <c r="B22" s="78" t="str">
        <f>IF(B21&lt;&gt;"",TEXT(WEEKDAY(B21,1),"(aaa)"),"")</f>
        <v>(月)</v>
      </c>
      <c r="C22" s="271"/>
      <c r="D22" s="271"/>
      <c r="E22" s="271"/>
      <c r="F22" s="271"/>
      <c r="G22" s="90"/>
      <c r="H22" s="91" t="s">
        <v>126</v>
      </c>
      <c r="I22" s="92"/>
      <c r="J22" s="93"/>
      <c r="K22" s="91" t="s">
        <v>126</v>
      </c>
      <c r="L22" s="94"/>
      <c r="M22" s="131" t="str">
        <f t="shared" si="1"/>
        <v/>
      </c>
      <c r="N22" s="95" t="s">
        <v>126</v>
      </c>
      <c r="O22" s="132" t="str">
        <f t="shared" si="2"/>
        <v/>
      </c>
      <c r="P22" s="133" t="str">
        <f t="shared" si="3"/>
        <v/>
      </c>
      <c r="Q22" s="95" t="s">
        <v>126</v>
      </c>
      <c r="R22" s="134" t="str">
        <f t="shared" si="4"/>
        <v/>
      </c>
      <c r="S22" s="128" t="str">
        <f t="shared" si="0"/>
        <v/>
      </c>
      <c r="T22" s="122" t="s">
        <v>126</v>
      </c>
      <c r="U22" s="135" t="str">
        <f t="shared" si="5"/>
        <v/>
      </c>
      <c r="V22" s="128" t="str">
        <f t="shared" si="6"/>
        <v/>
      </c>
      <c r="W22" s="122" t="s">
        <v>126</v>
      </c>
      <c r="X22" s="135" t="str">
        <f t="shared" si="7"/>
        <v/>
      </c>
      <c r="Y22" s="286"/>
      <c r="Z22" s="113"/>
      <c r="AA22" s="119"/>
    </row>
    <row r="23" spans="2:27" ht="18" customHeight="1">
      <c r="B23" s="79"/>
      <c r="C23" s="271"/>
      <c r="D23" s="271"/>
      <c r="E23" s="271"/>
      <c r="F23" s="271"/>
      <c r="G23" s="90"/>
      <c r="H23" s="91" t="s">
        <v>126</v>
      </c>
      <c r="I23" s="92"/>
      <c r="J23" s="93"/>
      <c r="K23" s="91" t="s">
        <v>126</v>
      </c>
      <c r="L23" s="94"/>
      <c r="M23" s="131" t="str">
        <f t="shared" si="1"/>
        <v/>
      </c>
      <c r="N23" s="95" t="s">
        <v>126</v>
      </c>
      <c r="O23" s="132" t="str">
        <f t="shared" si="2"/>
        <v/>
      </c>
      <c r="P23" s="133" t="str">
        <f t="shared" si="3"/>
        <v/>
      </c>
      <c r="Q23" s="95" t="s">
        <v>126</v>
      </c>
      <c r="R23" s="134" t="str">
        <f t="shared" si="4"/>
        <v/>
      </c>
      <c r="S23" s="128" t="str">
        <f t="shared" si="0"/>
        <v/>
      </c>
      <c r="T23" s="122" t="s">
        <v>126</v>
      </c>
      <c r="U23" s="135" t="str">
        <f t="shared" si="5"/>
        <v/>
      </c>
      <c r="V23" s="128" t="str">
        <f t="shared" si="6"/>
        <v/>
      </c>
      <c r="W23" s="122" t="s">
        <v>126</v>
      </c>
      <c r="X23" s="135" t="str">
        <f t="shared" si="7"/>
        <v/>
      </c>
      <c r="Y23" s="286"/>
      <c r="Z23" s="113"/>
      <c r="AA23" s="120"/>
    </row>
    <row r="24" spans="2:27" ht="18" customHeight="1">
      <c r="B24" s="77">
        <f>IF(B21&lt;&gt;"",IF(MONTH(B21)&lt;&gt;MONTH(B21+1),"",B21+1),"")</f>
        <v>41086</v>
      </c>
      <c r="C24" s="270"/>
      <c r="D24" s="270"/>
      <c r="E24" s="270"/>
      <c r="F24" s="270"/>
      <c r="G24" s="84"/>
      <c r="H24" s="85" t="s">
        <v>126</v>
      </c>
      <c r="I24" s="86"/>
      <c r="J24" s="87"/>
      <c r="K24" s="85" t="s">
        <v>126</v>
      </c>
      <c r="L24" s="88"/>
      <c r="M24" s="124" t="str">
        <f t="shared" si="1"/>
        <v/>
      </c>
      <c r="N24" s="89" t="s">
        <v>126</v>
      </c>
      <c r="O24" s="125" t="str">
        <f t="shared" si="2"/>
        <v/>
      </c>
      <c r="P24" s="126" t="str">
        <f t="shared" si="3"/>
        <v/>
      </c>
      <c r="Q24" s="89" t="s">
        <v>126</v>
      </c>
      <c r="R24" s="127" t="str">
        <f t="shared" si="4"/>
        <v/>
      </c>
      <c r="S24" s="130" t="str">
        <f t="shared" si="0"/>
        <v/>
      </c>
      <c r="T24" s="121" t="s">
        <v>126</v>
      </c>
      <c r="U24" s="129" t="str">
        <f t="shared" si="5"/>
        <v/>
      </c>
      <c r="V24" s="130" t="str">
        <f t="shared" si="6"/>
        <v/>
      </c>
      <c r="W24" s="121" t="s">
        <v>126</v>
      </c>
      <c r="X24" s="129" t="str">
        <f t="shared" si="7"/>
        <v/>
      </c>
      <c r="Y24" s="285">
        <f>処理用!P24</f>
        <v>0</v>
      </c>
      <c r="Z24" s="112"/>
      <c r="AA24" s="118"/>
    </row>
    <row r="25" spans="2:27" ht="18" customHeight="1">
      <c r="B25" s="78" t="str">
        <f>IF(B24&lt;&gt;"",TEXT(WEEKDAY(B24,1),"(aaa)"),"")</f>
        <v>(火)</v>
      </c>
      <c r="C25" s="271"/>
      <c r="D25" s="271"/>
      <c r="E25" s="271"/>
      <c r="F25" s="271"/>
      <c r="G25" s="90"/>
      <c r="H25" s="91" t="s">
        <v>126</v>
      </c>
      <c r="I25" s="92"/>
      <c r="J25" s="93"/>
      <c r="K25" s="91" t="s">
        <v>126</v>
      </c>
      <c r="L25" s="94"/>
      <c r="M25" s="131" t="str">
        <f t="shared" si="1"/>
        <v/>
      </c>
      <c r="N25" s="95" t="s">
        <v>126</v>
      </c>
      <c r="O25" s="132" t="str">
        <f t="shared" si="2"/>
        <v/>
      </c>
      <c r="P25" s="133" t="str">
        <f t="shared" si="3"/>
        <v/>
      </c>
      <c r="Q25" s="95" t="s">
        <v>126</v>
      </c>
      <c r="R25" s="134" t="str">
        <f t="shared" si="4"/>
        <v/>
      </c>
      <c r="S25" s="128" t="str">
        <f t="shared" si="0"/>
        <v/>
      </c>
      <c r="T25" s="122" t="s">
        <v>126</v>
      </c>
      <c r="U25" s="135" t="str">
        <f t="shared" si="5"/>
        <v/>
      </c>
      <c r="V25" s="128" t="str">
        <f t="shared" si="6"/>
        <v/>
      </c>
      <c r="W25" s="122" t="s">
        <v>126</v>
      </c>
      <c r="X25" s="135" t="str">
        <f t="shared" si="7"/>
        <v/>
      </c>
      <c r="Y25" s="286"/>
      <c r="Z25" s="113"/>
      <c r="AA25" s="119"/>
    </row>
    <row r="26" spans="2:27" ht="18" customHeight="1">
      <c r="B26" s="79"/>
      <c r="C26" s="271"/>
      <c r="D26" s="271"/>
      <c r="E26" s="271"/>
      <c r="F26" s="271"/>
      <c r="G26" s="90"/>
      <c r="H26" s="91" t="s">
        <v>126</v>
      </c>
      <c r="I26" s="92"/>
      <c r="J26" s="93"/>
      <c r="K26" s="91" t="s">
        <v>126</v>
      </c>
      <c r="L26" s="94"/>
      <c r="M26" s="131" t="str">
        <f t="shared" si="1"/>
        <v/>
      </c>
      <c r="N26" s="95" t="s">
        <v>126</v>
      </c>
      <c r="O26" s="132" t="str">
        <f t="shared" si="2"/>
        <v/>
      </c>
      <c r="P26" s="133" t="str">
        <f t="shared" si="3"/>
        <v/>
      </c>
      <c r="Q26" s="95" t="s">
        <v>126</v>
      </c>
      <c r="R26" s="134" t="str">
        <f t="shared" si="4"/>
        <v/>
      </c>
      <c r="S26" s="128" t="str">
        <f t="shared" si="0"/>
        <v/>
      </c>
      <c r="T26" s="122" t="s">
        <v>126</v>
      </c>
      <c r="U26" s="135" t="str">
        <f t="shared" si="5"/>
        <v/>
      </c>
      <c r="V26" s="128" t="str">
        <f t="shared" si="6"/>
        <v/>
      </c>
      <c r="W26" s="122" t="s">
        <v>126</v>
      </c>
      <c r="X26" s="135" t="str">
        <f t="shared" si="7"/>
        <v/>
      </c>
      <c r="Y26" s="286"/>
      <c r="Z26" s="113"/>
      <c r="AA26" s="120"/>
    </row>
    <row r="27" spans="2:27" ht="18" customHeight="1">
      <c r="B27" s="77">
        <f>IF(B24&lt;&gt;"",IF(MONTH(B24)&lt;&gt;MONTH(B24+1),"",B24+1),"")</f>
        <v>41087</v>
      </c>
      <c r="C27" s="270"/>
      <c r="D27" s="270"/>
      <c r="E27" s="270"/>
      <c r="F27" s="270"/>
      <c r="G27" s="84"/>
      <c r="H27" s="85" t="s">
        <v>126</v>
      </c>
      <c r="I27" s="86"/>
      <c r="J27" s="87"/>
      <c r="K27" s="85" t="s">
        <v>126</v>
      </c>
      <c r="L27" s="88"/>
      <c r="M27" s="124" t="str">
        <f t="shared" si="1"/>
        <v/>
      </c>
      <c r="N27" s="89" t="s">
        <v>126</v>
      </c>
      <c r="O27" s="125" t="str">
        <f t="shared" si="2"/>
        <v/>
      </c>
      <c r="P27" s="126" t="str">
        <f t="shared" si="3"/>
        <v/>
      </c>
      <c r="Q27" s="89" t="s">
        <v>126</v>
      </c>
      <c r="R27" s="127" t="str">
        <f t="shared" si="4"/>
        <v/>
      </c>
      <c r="S27" s="130" t="str">
        <f t="shared" si="0"/>
        <v/>
      </c>
      <c r="T27" s="121" t="s">
        <v>126</v>
      </c>
      <c r="U27" s="129" t="str">
        <f t="shared" si="5"/>
        <v/>
      </c>
      <c r="V27" s="130" t="str">
        <f t="shared" si="6"/>
        <v/>
      </c>
      <c r="W27" s="121" t="s">
        <v>126</v>
      </c>
      <c r="X27" s="129" t="str">
        <f t="shared" si="7"/>
        <v/>
      </c>
      <c r="Y27" s="285">
        <f>処理用!P27</f>
        <v>0</v>
      </c>
      <c r="Z27" s="112"/>
      <c r="AA27" s="118"/>
    </row>
    <row r="28" spans="2:27" ht="18" customHeight="1">
      <c r="B28" s="78" t="str">
        <f>IF(B27&lt;&gt;"",TEXT(WEEKDAY(B27,1),"(aaa)"),"")</f>
        <v>(水)</v>
      </c>
      <c r="C28" s="271"/>
      <c r="D28" s="271"/>
      <c r="E28" s="271"/>
      <c r="F28" s="271"/>
      <c r="G28" s="90"/>
      <c r="H28" s="91" t="s">
        <v>126</v>
      </c>
      <c r="I28" s="92"/>
      <c r="J28" s="93"/>
      <c r="K28" s="91" t="s">
        <v>126</v>
      </c>
      <c r="L28" s="94"/>
      <c r="M28" s="131" t="str">
        <f t="shared" si="1"/>
        <v/>
      </c>
      <c r="N28" s="95" t="s">
        <v>126</v>
      </c>
      <c r="O28" s="132" t="str">
        <f t="shared" si="2"/>
        <v/>
      </c>
      <c r="P28" s="133" t="str">
        <f t="shared" si="3"/>
        <v/>
      </c>
      <c r="Q28" s="95" t="s">
        <v>126</v>
      </c>
      <c r="R28" s="134" t="str">
        <f t="shared" si="4"/>
        <v/>
      </c>
      <c r="S28" s="128" t="str">
        <f t="shared" si="0"/>
        <v/>
      </c>
      <c r="T28" s="122" t="s">
        <v>126</v>
      </c>
      <c r="U28" s="135" t="str">
        <f t="shared" si="5"/>
        <v/>
      </c>
      <c r="V28" s="128" t="str">
        <f t="shared" si="6"/>
        <v/>
      </c>
      <c r="W28" s="122" t="s">
        <v>126</v>
      </c>
      <c r="X28" s="135" t="str">
        <f t="shared" si="7"/>
        <v/>
      </c>
      <c r="Y28" s="286"/>
      <c r="Z28" s="113"/>
      <c r="AA28" s="119"/>
    </row>
    <row r="29" spans="2:27" ht="18" customHeight="1">
      <c r="B29" s="79"/>
      <c r="C29" s="271"/>
      <c r="D29" s="271"/>
      <c r="E29" s="271"/>
      <c r="F29" s="271"/>
      <c r="G29" s="90"/>
      <c r="H29" s="91" t="s">
        <v>126</v>
      </c>
      <c r="I29" s="92"/>
      <c r="J29" s="93"/>
      <c r="K29" s="91" t="s">
        <v>126</v>
      </c>
      <c r="L29" s="94"/>
      <c r="M29" s="131" t="str">
        <f t="shared" si="1"/>
        <v/>
      </c>
      <c r="N29" s="95" t="s">
        <v>126</v>
      </c>
      <c r="O29" s="132" t="str">
        <f t="shared" si="2"/>
        <v/>
      </c>
      <c r="P29" s="133" t="str">
        <f t="shared" si="3"/>
        <v/>
      </c>
      <c r="Q29" s="95" t="s">
        <v>126</v>
      </c>
      <c r="R29" s="134" t="str">
        <f t="shared" si="4"/>
        <v/>
      </c>
      <c r="S29" s="128" t="str">
        <f t="shared" si="0"/>
        <v/>
      </c>
      <c r="T29" s="122" t="s">
        <v>126</v>
      </c>
      <c r="U29" s="135" t="str">
        <f t="shared" si="5"/>
        <v/>
      </c>
      <c r="V29" s="128" t="str">
        <f t="shared" si="6"/>
        <v/>
      </c>
      <c r="W29" s="122" t="s">
        <v>126</v>
      </c>
      <c r="X29" s="135" t="str">
        <f t="shared" si="7"/>
        <v/>
      </c>
      <c r="Y29" s="286"/>
      <c r="Z29" s="113"/>
      <c r="AA29" s="120"/>
    </row>
    <row r="30" spans="2:27" ht="18" customHeight="1">
      <c r="B30" s="77">
        <f>IF(B27&lt;&gt;"",IF(MONTH(B27)&lt;&gt;MONTH(B27+1),"",B27+1),"")</f>
        <v>41088</v>
      </c>
      <c r="C30" s="270"/>
      <c r="D30" s="270"/>
      <c r="E30" s="270"/>
      <c r="F30" s="270"/>
      <c r="G30" s="84"/>
      <c r="H30" s="85" t="s">
        <v>126</v>
      </c>
      <c r="I30" s="86"/>
      <c r="J30" s="87"/>
      <c r="K30" s="85" t="s">
        <v>126</v>
      </c>
      <c r="L30" s="88"/>
      <c r="M30" s="124" t="str">
        <f t="shared" si="1"/>
        <v/>
      </c>
      <c r="N30" s="89" t="s">
        <v>126</v>
      </c>
      <c r="O30" s="125" t="str">
        <f t="shared" si="2"/>
        <v/>
      </c>
      <c r="P30" s="126" t="str">
        <f t="shared" si="3"/>
        <v/>
      </c>
      <c r="Q30" s="89" t="s">
        <v>126</v>
      </c>
      <c r="R30" s="127" t="str">
        <f t="shared" si="4"/>
        <v/>
      </c>
      <c r="S30" s="130" t="str">
        <f t="shared" si="0"/>
        <v/>
      </c>
      <c r="T30" s="121" t="s">
        <v>126</v>
      </c>
      <c r="U30" s="129" t="str">
        <f t="shared" si="5"/>
        <v/>
      </c>
      <c r="V30" s="130" t="str">
        <f t="shared" si="6"/>
        <v/>
      </c>
      <c r="W30" s="121" t="s">
        <v>126</v>
      </c>
      <c r="X30" s="129" t="str">
        <f t="shared" si="7"/>
        <v/>
      </c>
      <c r="Y30" s="285">
        <f>処理用!P30</f>
        <v>0</v>
      </c>
      <c r="Z30" s="112"/>
      <c r="AA30" s="118"/>
    </row>
    <row r="31" spans="2:27" ht="18" customHeight="1">
      <c r="B31" s="78" t="str">
        <f>IF(B30&lt;&gt;"",TEXT(WEEKDAY(B30,1),"(aaa)"),"")</f>
        <v>(木)</v>
      </c>
      <c r="C31" s="271"/>
      <c r="D31" s="271"/>
      <c r="E31" s="271"/>
      <c r="F31" s="271"/>
      <c r="G31" s="90"/>
      <c r="H31" s="91" t="s">
        <v>126</v>
      </c>
      <c r="I31" s="92"/>
      <c r="J31" s="93"/>
      <c r="K31" s="91" t="s">
        <v>126</v>
      </c>
      <c r="L31" s="94"/>
      <c r="M31" s="131" t="str">
        <f t="shared" si="1"/>
        <v/>
      </c>
      <c r="N31" s="95" t="s">
        <v>126</v>
      </c>
      <c r="O31" s="132" t="str">
        <f t="shared" si="2"/>
        <v/>
      </c>
      <c r="P31" s="133" t="str">
        <f t="shared" si="3"/>
        <v/>
      </c>
      <c r="Q31" s="95" t="s">
        <v>126</v>
      </c>
      <c r="R31" s="134" t="str">
        <f t="shared" si="4"/>
        <v/>
      </c>
      <c r="S31" s="128" t="str">
        <f t="shared" si="0"/>
        <v/>
      </c>
      <c r="T31" s="122" t="s">
        <v>126</v>
      </c>
      <c r="U31" s="135" t="str">
        <f t="shared" si="5"/>
        <v/>
      </c>
      <c r="V31" s="128" t="str">
        <f t="shared" si="6"/>
        <v/>
      </c>
      <c r="W31" s="122" t="s">
        <v>126</v>
      </c>
      <c r="X31" s="135" t="str">
        <f t="shared" si="7"/>
        <v/>
      </c>
      <c r="Y31" s="286"/>
      <c r="Z31" s="113"/>
      <c r="AA31" s="119"/>
    </row>
    <row r="32" spans="2:27" ht="18" customHeight="1">
      <c r="B32" s="79"/>
      <c r="C32" s="271"/>
      <c r="D32" s="271"/>
      <c r="E32" s="271"/>
      <c r="F32" s="271"/>
      <c r="G32" s="90"/>
      <c r="H32" s="91" t="s">
        <v>126</v>
      </c>
      <c r="I32" s="92"/>
      <c r="J32" s="93"/>
      <c r="K32" s="91" t="s">
        <v>126</v>
      </c>
      <c r="L32" s="94"/>
      <c r="M32" s="131" t="str">
        <f t="shared" si="1"/>
        <v/>
      </c>
      <c r="N32" s="95" t="s">
        <v>126</v>
      </c>
      <c r="O32" s="132" t="str">
        <f t="shared" si="2"/>
        <v/>
      </c>
      <c r="P32" s="133" t="str">
        <f t="shared" si="3"/>
        <v/>
      </c>
      <c r="Q32" s="95" t="s">
        <v>126</v>
      </c>
      <c r="R32" s="134" t="str">
        <f t="shared" si="4"/>
        <v/>
      </c>
      <c r="S32" s="128" t="str">
        <f t="shared" si="0"/>
        <v/>
      </c>
      <c r="T32" s="122" t="s">
        <v>126</v>
      </c>
      <c r="U32" s="135" t="str">
        <f t="shared" si="5"/>
        <v/>
      </c>
      <c r="V32" s="128" t="str">
        <f t="shared" si="6"/>
        <v/>
      </c>
      <c r="W32" s="122" t="s">
        <v>126</v>
      </c>
      <c r="X32" s="135" t="str">
        <f t="shared" si="7"/>
        <v/>
      </c>
      <c r="Y32" s="286"/>
      <c r="Z32" s="113"/>
      <c r="AA32" s="120"/>
    </row>
    <row r="33" spans="2:30" ht="18" customHeight="1">
      <c r="B33" s="77">
        <f>IF(B30&lt;&gt;"",IF(MONTH(B30)&lt;&gt;MONTH(B30+1),"",B30+1),"")</f>
        <v>41089</v>
      </c>
      <c r="C33" s="270"/>
      <c r="D33" s="270"/>
      <c r="E33" s="270"/>
      <c r="F33" s="270"/>
      <c r="G33" s="84"/>
      <c r="H33" s="85" t="s">
        <v>126</v>
      </c>
      <c r="I33" s="86"/>
      <c r="J33" s="87"/>
      <c r="K33" s="85" t="s">
        <v>126</v>
      </c>
      <c r="L33" s="88"/>
      <c r="M33" s="124" t="str">
        <f t="shared" si="1"/>
        <v/>
      </c>
      <c r="N33" s="89" t="s">
        <v>126</v>
      </c>
      <c r="O33" s="125" t="str">
        <f t="shared" si="2"/>
        <v/>
      </c>
      <c r="P33" s="126" t="str">
        <f t="shared" si="3"/>
        <v/>
      </c>
      <c r="Q33" s="89" t="s">
        <v>126</v>
      </c>
      <c r="R33" s="127" t="str">
        <f t="shared" si="4"/>
        <v/>
      </c>
      <c r="S33" s="130" t="str">
        <f t="shared" si="0"/>
        <v/>
      </c>
      <c r="T33" s="121" t="s">
        <v>126</v>
      </c>
      <c r="U33" s="129" t="str">
        <f t="shared" si="5"/>
        <v/>
      </c>
      <c r="V33" s="130" t="str">
        <f t="shared" si="6"/>
        <v/>
      </c>
      <c r="W33" s="121" t="s">
        <v>126</v>
      </c>
      <c r="X33" s="129" t="str">
        <f t="shared" si="7"/>
        <v/>
      </c>
      <c r="Y33" s="285">
        <f>処理用!P33</f>
        <v>0</v>
      </c>
      <c r="Z33" s="112"/>
      <c r="AA33" s="118"/>
    </row>
    <row r="34" spans="2:30" ht="18" customHeight="1">
      <c r="B34" s="78" t="str">
        <f>IF(B33&lt;&gt;"",TEXT(WEEKDAY(B33,1),"(aaa)"),"")</f>
        <v>(金)</v>
      </c>
      <c r="C34" s="271"/>
      <c r="D34" s="271"/>
      <c r="E34" s="271"/>
      <c r="F34" s="271"/>
      <c r="G34" s="90"/>
      <c r="H34" s="91" t="s">
        <v>126</v>
      </c>
      <c r="I34" s="92"/>
      <c r="J34" s="93"/>
      <c r="K34" s="91" t="s">
        <v>126</v>
      </c>
      <c r="L34" s="94"/>
      <c r="M34" s="131" t="str">
        <f t="shared" si="1"/>
        <v/>
      </c>
      <c r="N34" s="95" t="s">
        <v>126</v>
      </c>
      <c r="O34" s="132" t="str">
        <f t="shared" si="2"/>
        <v/>
      </c>
      <c r="P34" s="133" t="str">
        <f t="shared" si="3"/>
        <v/>
      </c>
      <c r="Q34" s="95" t="s">
        <v>126</v>
      </c>
      <c r="R34" s="134" t="str">
        <f t="shared" si="4"/>
        <v/>
      </c>
      <c r="S34" s="128" t="str">
        <f t="shared" si="0"/>
        <v/>
      </c>
      <c r="T34" s="122" t="s">
        <v>126</v>
      </c>
      <c r="U34" s="135" t="str">
        <f t="shared" si="5"/>
        <v/>
      </c>
      <c r="V34" s="128" t="str">
        <f t="shared" si="6"/>
        <v/>
      </c>
      <c r="W34" s="122" t="s">
        <v>126</v>
      </c>
      <c r="X34" s="135" t="str">
        <f t="shared" si="7"/>
        <v/>
      </c>
      <c r="Y34" s="286"/>
      <c r="Z34" s="113"/>
      <c r="AA34" s="119"/>
    </row>
    <row r="35" spans="2:30" ht="18" customHeight="1">
      <c r="B35" s="79"/>
      <c r="C35" s="271"/>
      <c r="D35" s="271"/>
      <c r="E35" s="271"/>
      <c r="F35" s="271"/>
      <c r="G35" s="90"/>
      <c r="H35" s="91" t="s">
        <v>126</v>
      </c>
      <c r="I35" s="92"/>
      <c r="J35" s="93"/>
      <c r="K35" s="91" t="s">
        <v>126</v>
      </c>
      <c r="L35" s="94"/>
      <c r="M35" s="131" t="str">
        <f t="shared" si="1"/>
        <v/>
      </c>
      <c r="N35" s="95" t="s">
        <v>126</v>
      </c>
      <c r="O35" s="132" t="str">
        <f t="shared" si="2"/>
        <v/>
      </c>
      <c r="P35" s="133" t="str">
        <f t="shared" si="3"/>
        <v/>
      </c>
      <c r="Q35" s="95" t="s">
        <v>126</v>
      </c>
      <c r="R35" s="134" t="str">
        <f t="shared" si="4"/>
        <v/>
      </c>
      <c r="S35" s="128" t="str">
        <f t="shared" si="0"/>
        <v/>
      </c>
      <c r="T35" s="122" t="s">
        <v>126</v>
      </c>
      <c r="U35" s="135" t="str">
        <f t="shared" si="5"/>
        <v/>
      </c>
      <c r="V35" s="128" t="str">
        <f t="shared" si="6"/>
        <v/>
      </c>
      <c r="W35" s="122" t="s">
        <v>126</v>
      </c>
      <c r="X35" s="135" t="str">
        <f t="shared" si="7"/>
        <v/>
      </c>
      <c r="Y35" s="286"/>
      <c r="Z35" s="113"/>
      <c r="AA35" s="120"/>
    </row>
    <row r="36" spans="2:30" ht="18" customHeight="1">
      <c r="B36" s="77">
        <f>IF(B33&lt;&gt;"",IF(MONTH(B33)&lt;&gt;MONTH(B33+1),"",B33+1),"")</f>
        <v>41090</v>
      </c>
      <c r="C36" s="270"/>
      <c r="D36" s="270"/>
      <c r="E36" s="270"/>
      <c r="F36" s="270"/>
      <c r="G36" s="84"/>
      <c r="H36" s="85" t="s">
        <v>126</v>
      </c>
      <c r="I36" s="86"/>
      <c r="J36" s="87"/>
      <c r="K36" s="85" t="s">
        <v>126</v>
      </c>
      <c r="L36" s="88"/>
      <c r="M36" s="124" t="str">
        <f t="shared" si="1"/>
        <v/>
      </c>
      <c r="N36" s="89" t="s">
        <v>126</v>
      </c>
      <c r="O36" s="125" t="str">
        <f t="shared" si="2"/>
        <v/>
      </c>
      <c r="P36" s="126" t="str">
        <f t="shared" si="3"/>
        <v/>
      </c>
      <c r="Q36" s="89" t="s">
        <v>126</v>
      </c>
      <c r="R36" s="127" t="str">
        <f t="shared" si="4"/>
        <v/>
      </c>
      <c r="S36" s="130" t="str">
        <f t="shared" si="0"/>
        <v/>
      </c>
      <c r="T36" s="121" t="s">
        <v>126</v>
      </c>
      <c r="U36" s="129" t="str">
        <f t="shared" si="5"/>
        <v/>
      </c>
      <c r="V36" s="130" t="str">
        <f t="shared" si="6"/>
        <v/>
      </c>
      <c r="W36" s="121" t="s">
        <v>126</v>
      </c>
      <c r="X36" s="129" t="str">
        <f t="shared" si="7"/>
        <v/>
      </c>
      <c r="Y36" s="285">
        <f>処理用!P36</f>
        <v>0</v>
      </c>
      <c r="Z36" s="112"/>
      <c r="AA36" s="118"/>
    </row>
    <row r="37" spans="2:30" ht="18" customHeight="1">
      <c r="B37" s="78" t="str">
        <f>IF(B36&lt;&gt;"",TEXT(WEEKDAY(B36,1),"(aaa)"),"")</f>
        <v>(土)</v>
      </c>
      <c r="C37" s="271"/>
      <c r="D37" s="271"/>
      <c r="E37" s="271"/>
      <c r="F37" s="271"/>
      <c r="G37" s="90"/>
      <c r="H37" s="91" t="s">
        <v>126</v>
      </c>
      <c r="I37" s="92"/>
      <c r="J37" s="93"/>
      <c r="K37" s="91" t="s">
        <v>126</v>
      </c>
      <c r="L37" s="94"/>
      <c r="M37" s="131" t="str">
        <f t="shared" si="1"/>
        <v/>
      </c>
      <c r="N37" s="95" t="s">
        <v>126</v>
      </c>
      <c r="O37" s="132" t="str">
        <f t="shared" si="2"/>
        <v/>
      </c>
      <c r="P37" s="133" t="str">
        <f t="shared" si="3"/>
        <v/>
      </c>
      <c r="Q37" s="95" t="s">
        <v>126</v>
      </c>
      <c r="R37" s="134" t="str">
        <f t="shared" si="4"/>
        <v/>
      </c>
      <c r="S37" s="128" t="str">
        <f t="shared" si="0"/>
        <v/>
      </c>
      <c r="T37" s="122" t="s">
        <v>126</v>
      </c>
      <c r="U37" s="135" t="str">
        <f t="shared" si="5"/>
        <v/>
      </c>
      <c r="V37" s="128" t="str">
        <f t="shared" si="6"/>
        <v/>
      </c>
      <c r="W37" s="122" t="s">
        <v>126</v>
      </c>
      <c r="X37" s="135" t="str">
        <f t="shared" si="7"/>
        <v/>
      </c>
      <c r="Y37" s="286"/>
      <c r="Z37" s="113"/>
      <c r="AA37" s="119"/>
    </row>
    <row r="38" spans="2:30" ht="18" customHeight="1">
      <c r="B38" s="79" t="s">
        <v>83</v>
      </c>
      <c r="C38" s="271"/>
      <c r="D38" s="271"/>
      <c r="E38" s="271"/>
      <c r="F38" s="271"/>
      <c r="G38" s="90"/>
      <c r="H38" s="91" t="s">
        <v>126</v>
      </c>
      <c r="I38" s="92"/>
      <c r="J38" s="93"/>
      <c r="K38" s="91" t="s">
        <v>126</v>
      </c>
      <c r="L38" s="94"/>
      <c r="M38" s="131" t="str">
        <f t="shared" si="1"/>
        <v/>
      </c>
      <c r="N38" s="95" t="s">
        <v>126</v>
      </c>
      <c r="O38" s="132" t="str">
        <f t="shared" si="2"/>
        <v/>
      </c>
      <c r="P38" s="133" t="str">
        <f t="shared" si="3"/>
        <v/>
      </c>
      <c r="Q38" s="95" t="s">
        <v>126</v>
      </c>
      <c r="R38" s="134" t="str">
        <f t="shared" si="4"/>
        <v/>
      </c>
      <c r="S38" s="128" t="str">
        <f t="shared" si="0"/>
        <v/>
      </c>
      <c r="T38" s="122" t="s">
        <v>126</v>
      </c>
      <c r="U38" s="135" t="str">
        <f t="shared" si="5"/>
        <v/>
      </c>
      <c r="V38" s="128" t="str">
        <f t="shared" si="6"/>
        <v/>
      </c>
      <c r="W38" s="122" t="s">
        <v>126</v>
      </c>
      <c r="X38" s="135" t="str">
        <f t="shared" si="7"/>
        <v/>
      </c>
      <c r="Y38" s="286"/>
      <c r="Z38" s="113"/>
      <c r="AA38" s="120"/>
    </row>
    <row r="39" spans="2:30" ht="18" customHeight="1">
      <c r="B39" s="77" t="str">
        <f>IF(B36&lt;&gt;"",IF(MONTH(B36)&lt;&gt;MONTH(B36+1),"",B36+1),"")</f>
        <v/>
      </c>
      <c r="C39" s="270"/>
      <c r="D39" s="270"/>
      <c r="E39" s="270"/>
      <c r="F39" s="270"/>
      <c r="G39" s="84"/>
      <c r="H39" s="85" t="s">
        <v>126</v>
      </c>
      <c r="I39" s="86"/>
      <c r="J39" s="87"/>
      <c r="K39" s="85" t="s">
        <v>126</v>
      </c>
      <c r="L39" s="88"/>
      <c r="M39" s="124" t="str">
        <f t="shared" si="1"/>
        <v/>
      </c>
      <c r="N39" s="89" t="s">
        <v>126</v>
      </c>
      <c r="O39" s="125" t="str">
        <f t="shared" si="2"/>
        <v/>
      </c>
      <c r="P39" s="126" t="str">
        <f t="shared" si="3"/>
        <v/>
      </c>
      <c r="Q39" s="89" t="s">
        <v>126</v>
      </c>
      <c r="R39" s="127" t="str">
        <f t="shared" si="4"/>
        <v/>
      </c>
      <c r="S39" s="130" t="str">
        <f t="shared" si="0"/>
        <v/>
      </c>
      <c r="T39" s="121" t="s">
        <v>126</v>
      </c>
      <c r="U39" s="129" t="str">
        <f t="shared" si="5"/>
        <v/>
      </c>
      <c r="V39" s="130" t="str">
        <f t="shared" si="6"/>
        <v/>
      </c>
      <c r="W39" s="121" t="s">
        <v>126</v>
      </c>
      <c r="X39" s="129" t="str">
        <f t="shared" si="7"/>
        <v/>
      </c>
      <c r="Y39" s="285">
        <f>処理用!P39</f>
        <v>0</v>
      </c>
      <c r="Z39" s="112"/>
      <c r="AA39" s="118"/>
    </row>
    <row r="40" spans="2:30" ht="18" customHeight="1">
      <c r="B40" s="78" t="str">
        <f>IF(B39&lt;&gt;"",TEXT(WEEKDAY(B39,1),"(aaa)"),"")</f>
        <v/>
      </c>
      <c r="C40" s="271"/>
      <c r="D40" s="271"/>
      <c r="E40" s="271"/>
      <c r="F40" s="271"/>
      <c r="G40" s="90"/>
      <c r="H40" s="91" t="s">
        <v>126</v>
      </c>
      <c r="I40" s="92"/>
      <c r="J40" s="93"/>
      <c r="K40" s="91" t="s">
        <v>126</v>
      </c>
      <c r="L40" s="94"/>
      <c r="M40" s="131" t="str">
        <f t="shared" si="1"/>
        <v/>
      </c>
      <c r="N40" s="95" t="s">
        <v>126</v>
      </c>
      <c r="O40" s="132" t="str">
        <f t="shared" si="2"/>
        <v/>
      </c>
      <c r="P40" s="133" t="str">
        <f t="shared" si="3"/>
        <v/>
      </c>
      <c r="Q40" s="95" t="s">
        <v>126</v>
      </c>
      <c r="R40" s="134" t="str">
        <f t="shared" si="4"/>
        <v/>
      </c>
      <c r="S40" s="128" t="str">
        <f t="shared" si="0"/>
        <v/>
      </c>
      <c r="T40" s="122" t="s">
        <v>126</v>
      </c>
      <c r="U40" s="135" t="str">
        <f t="shared" si="5"/>
        <v/>
      </c>
      <c r="V40" s="128" t="str">
        <f t="shared" si="6"/>
        <v/>
      </c>
      <c r="W40" s="122" t="s">
        <v>126</v>
      </c>
      <c r="X40" s="135" t="str">
        <f t="shared" si="7"/>
        <v/>
      </c>
      <c r="Y40" s="286"/>
      <c r="Z40" s="113"/>
      <c r="AA40" s="119"/>
    </row>
    <row r="41" spans="2:30" ht="18" customHeight="1">
      <c r="B41" s="79"/>
      <c r="C41" s="271"/>
      <c r="D41" s="271"/>
      <c r="E41" s="271"/>
      <c r="F41" s="271"/>
      <c r="G41" s="90"/>
      <c r="H41" s="91" t="s">
        <v>126</v>
      </c>
      <c r="I41" s="92"/>
      <c r="J41" s="93"/>
      <c r="K41" s="91" t="s">
        <v>126</v>
      </c>
      <c r="L41" s="94"/>
      <c r="M41" s="131" t="str">
        <f t="shared" si="1"/>
        <v/>
      </c>
      <c r="N41" s="95" t="s">
        <v>126</v>
      </c>
      <c r="O41" s="132" t="str">
        <f t="shared" si="2"/>
        <v/>
      </c>
      <c r="P41" s="133" t="str">
        <f t="shared" si="3"/>
        <v/>
      </c>
      <c r="Q41" s="95" t="s">
        <v>126</v>
      </c>
      <c r="R41" s="134" t="str">
        <f t="shared" si="4"/>
        <v/>
      </c>
      <c r="S41" s="128" t="str">
        <f t="shared" si="0"/>
        <v/>
      </c>
      <c r="T41" s="122" t="s">
        <v>126</v>
      </c>
      <c r="U41" s="135" t="str">
        <f t="shared" si="5"/>
        <v/>
      </c>
      <c r="V41" s="128" t="str">
        <f t="shared" si="6"/>
        <v/>
      </c>
      <c r="W41" s="122" t="s">
        <v>126</v>
      </c>
      <c r="X41" s="135" t="str">
        <f t="shared" si="7"/>
        <v/>
      </c>
      <c r="Y41" s="286"/>
      <c r="Z41" s="113"/>
      <c r="AA41" s="120"/>
    </row>
    <row r="42" spans="2:30" ht="18" customHeight="1">
      <c r="B42" s="77">
        <f>DATE(G2,J2,1)</f>
        <v>41091</v>
      </c>
      <c r="C42" s="270"/>
      <c r="D42" s="270"/>
      <c r="E42" s="270"/>
      <c r="F42" s="270"/>
      <c r="G42" s="84"/>
      <c r="H42" s="85" t="s">
        <v>126</v>
      </c>
      <c r="I42" s="86"/>
      <c r="J42" s="87"/>
      <c r="K42" s="85" t="s">
        <v>126</v>
      </c>
      <c r="L42" s="88"/>
      <c r="M42" s="124" t="str">
        <f t="shared" si="1"/>
        <v/>
      </c>
      <c r="N42" s="89" t="s">
        <v>126</v>
      </c>
      <c r="O42" s="125" t="str">
        <f t="shared" si="2"/>
        <v/>
      </c>
      <c r="P42" s="126" t="str">
        <f t="shared" si="3"/>
        <v/>
      </c>
      <c r="Q42" s="89" t="s">
        <v>126</v>
      </c>
      <c r="R42" s="127" t="str">
        <f t="shared" si="4"/>
        <v/>
      </c>
      <c r="S42" s="130" t="str">
        <f t="shared" si="0"/>
        <v/>
      </c>
      <c r="T42" s="121" t="s">
        <v>126</v>
      </c>
      <c r="U42" s="129" t="str">
        <f t="shared" si="5"/>
        <v/>
      </c>
      <c r="V42" s="130" t="str">
        <f t="shared" si="6"/>
        <v/>
      </c>
      <c r="W42" s="121" t="s">
        <v>126</v>
      </c>
      <c r="X42" s="129" t="str">
        <f t="shared" si="7"/>
        <v/>
      </c>
      <c r="Y42" s="285">
        <f>処理用!P42</f>
        <v>0</v>
      </c>
      <c r="Z42" s="112"/>
      <c r="AA42" s="118"/>
    </row>
    <row r="43" spans="2:30" ht="18" customHeight="1">
      <c r="B43" s="78" t="str">
        <f>IF(B42&lt;&gt;"",TEXT(WEEKDAY(B42,1),"(aaa)"),"")</f>
        <v>(日)</v>
      </c>
      <c r="C43" s="271"/>
      <c r="D43" s="271"/>
      <c r="E43" s="271"/>
      <c r="F43" s="271"/>
      <c r="G43" s="90"/>
      <c r="H43" s="91" t="s">
        <v>126</v>
      </c>
      <c r="I43" s="92"/>
      <c r="J43" s="93"/>
      <c r="K43" s="91" t="s">
        <v>126</v>
      </c>
      <c r="L43" s="94"/>
      <c r="M43" s="131" t="str">
        <f t="shared" si="1"/>
        <v/>
      </c>
      <c r="N43" s="95" t="s">
        <v>126</v>
      </c>
      <c r="O43" s="132" t="str">
        <f t="shared" si="2"/>
        <v/>
      </c>
      <c r="P43" s="133" t="str">
        <f t="shared" si="3"/>
        <v/>
      </c>
      <c r="Q43" s="95" t="s">
        <v>126</v>
      </c>
      <c r="R43" s="134" t="str">
        <f t="shared" si="4"/>
        <v/>
      </c>
      <c r="S43" s="128" t="str">
        <f t="shared" si="0"/>
        <v/>
      </c>
      <c r="T43" s="122" t="s">
        <v>126</v>
      </c>
      <c r="U43" s="135" t="str">
        <f t="shared" si="5"/>
        <v/>
      </c>
      <c r="V43" s="128" t="str">
        <f t="shared" si="6"/>
        <v/>
      </c>
      <c r="W43" s="122" t="s">
        <v>126</v>
      </c>
      <c r="X43" s="135" t="str">
        <f t="shared" si="7"/>
        <v/>
      </c>
      <c r="Y43" s="286"/>
      <c r="Z43" s="113"/>
      <c r="AA43" s="119"/>
    </row>
    <row r="44" spans="2:30" ht="18" customHeight="1">
      <c r="B44" s="79" t="s">
        <v>83</v>
      </c>
      <c r="C44" s="271"/>
      <c r="D44" s="271"/>
      <c r="E44" s="271"/>
      <c r="F44" s="271"/>
      <c r="G44" s="90"/>
      <c r="H44" s="91" t="s">
        <v>126</v>
      </c>
      <c r="I44" s="92"/>
      <c r="J44" s="93"/>
      <c r="K44" s="91" t="s">
        <v>126</v>
      </c>
      <c r="L44" s="94"/>
      <c r="M44" s="131" t="str">
        <f t="shared" si="1"/>
        <v/>
      </c>
      <c r="N44" s="95" t="s">
        <v>126</v>
      </c>
      <c r="O44" s="132" t="str">
        <f t="shared" si="2"/>
        <v/>
      </c>
      <c r="P44" s="133" t="str">
        <f t="shared" si="3"/>
        <v/>
      </c>
      <c r="Q44" s="95" t="s">
        <v>126</v>
      </c>
      <c r="R44" s="134" t="str">
        <f t="shared" si="4"/>
        <v/>
      </c>
      <c r="S44" s="128" t="str">
        <f t="shared" si="0"/>
        <v/>
      </c>
      <c r="T44" s="122" t="s">
        <v>126</v>
      </c>
      <c r="U44" s="135" t="str">
        <f t="shared" si="5"/>
        <v/>
      </c>
      <c r="V44" s="128" t="str">
        <f t="shared" si="6"/>
        <v/>
      </c>
      <c r="W44" s="122" t="s">
        <v>126</v>
      </c>
      <c r="X44" s="135" t="str">
        <f t="shared" si="7"/>
        <v/>
      </c>
      <c r="Y44" s="286"/>
      <c r="Z44" s="113"/>
      <c r="AA44" s="120"/>
    </row>
    <row r="45" spans="2:30" ht="18" customHeight="1">
      <c r="B45" s="77">
        <f>IF(B42&lt;&gt;"",IF(MONTH(B42)&lt;&gt;MONTH(B42+1),"",B42+1),"")</f>
        <v>41092</v>
      </c>
      <c r="C45" s="270"/>
      <c r="D45" s="270"/>
      <c r="E45" s="270"/>
      <c r="F45" s="270"/>
      <c r="G45" s="84"/>
      <c r="H45" s="85" t="s">
        <v>126</v>
      </c>
      <c r="I45" s="86"/>
      <c r="J45" s="87"/>
      <c r="K45" s="85" t="s">
        <v>126</v>
      </c>
      <c r="L45" s="88"/>
      <c r="M45" s="124" t="str">
        <f t="shared" si="1"/>
        <v/>
      </c>
      <c r="N45" s="89" t="s">
        <v>126</v>
      </c>
      <c r="O45" s="125" t="str">
        <f t="shared" si="2"/>
        <v/>
      </c>
      <c r="P45" s="126" t="str">
        <f t="shared" si="3"/>
        <v/>
      </c>
      <c r="Q45" s="89" t="s">
        <v>126</v>
      </c>
      <c r="R45" s="127" t="str">
        <f t="shared" si="4"/>
        <v/>
      </c>
      <c r="S45" s="130" t="str">
        <f t="shared" si="0"/>
        <v/>
      </c>
      <c r="T45" s="121" t="s">
        <v>126</v>
      </c>
      <c r="U45" s="129" t="str">
        <f t="shared" si="5"/>
        <v/>
      </c>
      <c r="V45" s="130" t="str">
        <f t="shared" si="6"/>
        <v/>
      </c>
      <c r="W45" s="121" t="s">
        <v>126</v>
      </c>
      <c r="X45" s="129" t="str">
        <f t="shared" si="7"/>
        <v/>
      </c>
      <c r="Y45" s="285">
        <f>処理用!P45</f>
        <v>0</v>
      </c>
      <c r="Z45" s="112"/>
      <c r="AA45" s="118"/>
      <c r="AB45" s="12"/>
      <c r="AC45" s="12"/>
      <c r="AD45" s="12"/>
    </row>
    <row r="46" spans="2:30" ht="18" customHeight="1">
      <c r="B46" s="78" t="str">
        <f>IF(B45&lt;&gt;"",TEXT(WEEKDAY(B45,1),"(aaa)"),"")</f>
        <v>(月)</v>
      </c>
      <c r="C46" s="271"/>
      <c r="D46" s="271"/>
      <c r="E46" s="271"/>
      <c r="F46" s="271"/>
      <c r="G46" s="90"/>
      <c r="H46" s="91" t="s">
        <v>126</v>
      </c>
      <c r="I46" s="92"/>
      <c r="J46" s="93"/>
      <c r="K46" s="91" t="s">
        <v>126</v>
      </c>
      <c r="L46" s="94"/>
      <c r="M46" s="131" t="str">
        <f t="shared" si="1"/>
        <v/>
      </c>
      <c r="N46" s="95" t="s">
        <v>126</v>
      </c>
      <c r="O46" s="132" t="str">
        <f t="shared" si="2"/>
        <v/>
      </c>
      <c r="P46" s="133" t="str">
        <f t="shared" si="3"/>
        <v/>
      </c>
      <c r="Q46" s="95" t="s">
        <v>126</v>
      </c>
      <c r="R46" s="134" t="str">
        <f t="shared" si="4"/>
        <v/>
      </c>
      <c r="S46" s="128" t="str">
        <f t="shared" si="0"/>
        <v/>
      </c>
      <c r="T46" s="122" t="s">
        <v>126</v>
      </c>
      <c r="U46" s="135" t="str">
        <f t="shared" si="5"/>
        <v/>
      </c>
      <c r="V46" s="128" t="str">
        <f t="shared" si="6"/>
        <v/>
      </c>
      <c r="W46" s="122" t="s">
        <v>126</v>
      </c>
      <c r="X46" s="135" t="str">
        <f t="shared" si="7"/>
        <v/>
      </c>
      <c r="Y46" s="286"/>
      <c r="Z46" s="113"/>
      <c r="AA46" s="119"/>
    </row>
    <row r="47" spans="2:30" ht="18" customHeight="1">
      <c r="B47" s="79"/>
      <c r="C47" s="271"/>
      <c r="D47" s="271"/>
      <c r="E47" s="271"/>
      <c r="F47" s="271"/>
      <c r="G47" s="90"/>
      <c r="H47" s="91" t="s">
        <v>126</v>
      </c>
      <c r="I47" s="92"/>
      <c r="J47" s="93"/>
      <c r="K47" s="91" t="s">
        <v>126</v>
      </c>
      <c r="L47" s="94"/>
      <c r="M47" s="131" t="str">
        <f t="shared" si="1"/>
        <v/>
      </c>
      <c r="N47" s="95" t="s">
        <v>126</v>
      </c>
      <c r="O47" s="132" t="str">
        <f t="shared" si="2"/>
        <v/>
      </c>
      <c r="P47" s="133" t="str">
        <f t="shared" si="3"/>
        <v/>
      </c>
      <c r="Q47" s="95" t="s">
        <v>126</v>
      </c>
      <c r="R47" s="134" t="str">
        <f t="shared" si="4"/>
        <v/>
      </c>
      <c r="S47" s="128" t="str">
        <f t="shared" si="0"/>
        <v/>
      </c>
      <c r="T47" s="122" t="s">
        <v>126</v>
      </c>
      <c r="U47" s="135" t="str">
        <f t="shared" si="5"/>
        <v/>
      </c>
      <c r="V47" s="128" t="str">
        <f t="shared" si="6"/>
        <v/>
      </c>
      <c r="W47" s="122" t="s">
        <v>126</v>
      </c>
      <c r="X47" s="135" t="str">
        <f t="shared" si="7"/>
        <v/>
      </c>
      <c r="Y47" s="286"/>
      <c r="Z47" s="113"/>
      <c r="AA47" s="120"/>
    </row>
    <row r="48" spans="2:30" ht="18" customHeight="1">
      <c r="B48" s="77">
        <f>IF(B45&lt;&gt;"",IF(MONTH(B45)&lt;&gt;MONTH(B45+1),"",B45+1),"")</f>
        <v>41093</v>
      </c>
      <c r="C48" s="270"/>
      <c r="D48" s="270"/>
      <c r="E48" s="270"/>
      <c r="F48" s="270"/>
      <c r="G48" s="84"/>
      <c r="H48" s="85" t="s">
        <v>126</v>
      </c>
      <c r="I48" s="86"/>
      <c r="J48" s="87"/>
      <c r="K48" s="85" t="s">
        <v>126</v>
      </c>
      <c r="L48" s="88"/>
      <c r="M48" s="124" t="str">
        <f t="shared" si="1"/>
        <v/>
      </c>
      <c r="N48" s="89" t="s">
        <v>126</v>
      </c>
      <c r="O48" s="125" t="str">
        <f t="shared" si="2"/>
        <v/>
      </c>
      <c r="P48" s="126" t="str">
        <f t="shared" si="3"/>
        <v/>
      </c>
      <c r="Q48" s="89" t="s">
        <v>126</v>
      </c>
      <c r="R48" s="127" t="str">
        <f t="shared" si="4"/>
        <v/>
      </c>
      <c r="S48" s="130" t="str">
        <f t="shared" si="0"/>
        <v/>
      </c>
      <c r="T48" s="121" t="s">
        <v>126</v>
      </c>
      <c r="U48" s="129" t="str">
        <f t="shared" si="5"/>
        <v/>
      </c>
      <c r="V48" s="130" t="str">
        <f t="shared" si="6"/>
        <v/>
      </c>
      <c r="W48" s="121" t="s">
        <v>126</v>
      </c>
      <c r="X48" s="129" t="str">
        <f t="shared" si="7"/>
        <v/>
      </c>
      <c r="Y48" s="285">
        <f>処理用!P48</f>
        <v>0</v>
      </c>
      <c r="Z48" s="112"/>
      <c r="AA48" s="118"/>
    </row>
    <row r="49" spans="2:30" ht="18" customHeight="1">
      <c r="B49" s="78" t="str">
        <f>IF(B48&lt;&gt;"",TEXT(WEEKDAY(B48,1),"(aaa)"),"")</f>
        <v>(火)</v>
      </c>
      <c r="C49" s="271"/>
      <c r="D49" s="271"/>
      <c r="E49" s="271"/>
      <c r="F49" s="271"/>
      <c r="G49" s="90"/>
      <c r="H49" s="91" t="s">
        <v>126</v>
      </c>
      <c r="I49" s="92"/>
      <c r="J49" s="93"/>
      <c r="K49" s="91" t="s">
        <v>126</v>
      </c>
      <c r="L49" s="94"/>
      <c r="M49" s="131" t="str">
        <f t="shared" si="1"/>
        <v/>
      </c>
      <c r="N49" s="95" t="s">
        <v>126</v>
      </c>
      <c r="O49" s="132" t="str">
        <f t="shared" si="2"/>
        <v/>
      </c>
      <c r="P49" s="133" t="str">
        <f t="shared" si="3"/>
        <v/>
      </c>
      <c r="Q49" s="95" t="s">
        <v>126</v>
      </c>
      <c r="R49" s="134" t="str">
        <f t="shared" si="4"/>
        <v/>
      </c>
      <c r="S49" s="128" t="str">
        <f t="shared" si="0"/>
        <v/>
      </c>
      <c r="T49" s="122" t="s">
        <v>126</v>
      </c>
      <c r="U49" s="135" t="str">
        <f t="shared" si="5"/>
        <v/>
      </c>
      <c r="V49" s="128" t="str">
        <f t="shared" si="6"/>
        <v/>
      </c>
      <c r="W49" s="122" t="s">
        <v>126</v>
      </c>
      <c r="X49" s="135" t="str">
        <f t="shared" si="7"/>
        <v/>
      </c>
      <c r="Y49" s="286"/>
      <c r="Z49" s="113"/>
      <c r="AA49" s="119"/>
    </row>
    <row r="50" spans="2:30" ht="18" customHeight="1">
      <c r="B50" s="79"/>
      <c r="C50" s="271"/>
      <c r="D50" s="271"/>
      <c r="E50" s="271"/>
      <c r="F50" s="271"/>
      <c r="G50" s="90"/>
      <c r="H50" s="91" t="s">
        <v>126</v>
      </c>
      <c r="I50" s="92"/>
      <c r="J50" s="93"/>
      <c r="K50" s="91" t="s">
        <v>126</v>
      </c>
      <c r="L50" s="94"/>
      <c r="M50" s="131" t="str">
        <f t="shared" si="1"/>
        <v/>
      </c>
      <c r="N50" s="95" t="s">
        <v>126</v>
      </c>
      <c r="O50" s="132" t="str">
        <f t="shared" si="2"/>
        <v/>
      </c>
      <c r="P50" s="133" t="str">
        <f t="shared" si="3"/>
        <v/>
      </c>
      <c r="Q50" s="95" t="s">
        <v>126</v>
      </c>
      <c r="R50" s="134" t="str">
        <f t="shared" si="4"/>
        <v/>
      </c>
      <c r="S50" s="128" t="str">
        <f t="shared" si="0"/>
        <v/>
      </c>
      <c r="T50" s="122" t="s">
        <v>126</v>
      </c>
      <c r="U50" s="135" t="str">
        <f t="shared" si="5"/>
        <v/>
      </c>
      <c r="V50" s="128" t="str">
        <f t="shared" si="6"/>
        <v/>
      </c>
      <c r="W50" s="122" t="s">
        <v>126</v>
      </c>
      <c r="X50" s="135" t="str">
        <f t="shared" si="7"/>
        <v/>
      </c>
      <c r="Y50" s="286"/>
      <c r="Z50" s="113"/>
      <c r="AA50" s="120"/>
    </row>
    <row r="51" spans="2:30" ht="18" customHeight="1">
      <c r="B51" s="77">
        <f>IF(B48&lt;&gt;"",IF(MONTH(B48)&lt;&gt;MONTH(B48+1),"",B48+1),"")</f>
        <v>41094</v>
      </c>
      <c r="C51" s="270"/>
      <c r="D51" s="270"/>
      <c r="E51" s="270"/>
      <c r="F51" s="270"/>
      <c r="G51" s="84"/>
      <c r="H51" s="85" t="s">
        <v>126</v>
      </c>
      <c r="I51" s="86"/>
      <c r="J51" s="87"/>
      <c r="K51" s="85" t="s">
        <v>126</v>
      </c>
      <c r="L51" s="88"/>
      <c r="M51" s="124" t="str">
        <f t="shared" si="1"/>
        <v/>
      </c>
      <c r="N51" s="89" t="s">
        <v>126</v>
      </c>
      <c r="O51" s="125" t="str">
        <f t="shared" si="2"/>
        <v/>
      </c>
      <c r="P51" s="126" t="str">
        <f t="shared" si="3"/>
        <v/>
      </c>
      <c r="Q51" s="89" t="s">
        <v>126</v>
      </c>
      <c r="R51" s="127" t="str">
        <f t="shared" si="4"/>
        <v/>
      </c>
      <c r="S51" s="130" t="str">
        <f t="shared" si="0"/>
        <v/>
      </c>
      <c r="T51" s="121" t="s">
        <v>126</v>
      </c>
      <c r="U51" s="129" t="str">
        <f t="shared" si="5"/>
        <v/>
      </c>
      <c r="V51" s="130" t="str">
        <f t="shared" si="6"/>
        <v/>
      </c>
      <c r="W51" s="121" t="s">
        <v>126</v>
      </c>
      <c r="X51" s="129" t="str">
        <f t="shared" si="7"/>
        <v/>
      </c>
      <c r="Y51" s="285">
        <f>処理用!P51</f>
        <v>0</v>
      </c>
      <c r="Z51" s="112"/>
      <c r="AA51" s="118"/>
    </row>
    <row r="52" spans="2:30" ht="18" customHeight="1">
      <c r="B52" s="78" t="str">
        <f>IF(B51&lt;&gt;"",TEXT(WEEKDAY(B51,1),"(aaa)"),"")</f>
        <v>(水)</v>
      </c>
      <c r="C52" s="271"/>
      <c r="D52" s="271"/>
      <c r="E52" s="271"/>
      <c r="F52" s="271"/>
      <c r="G52" s="90"/>
      <c r="H52" s="91" t="s">
        <v>126</v>
      </c>
      <c r="I52" s="92"/>
      <c r="J52" s="93"/>
      <c r="K52" s="91" t="s">
        <v>126</v>
      </c>
      <c r="L52" s="94"/>
      <c r="M52" s="131" t="str">
        <f t="shared" si="1"/>
        <v/>
      </c>
      <c r="N52" s="95" t="s">
        <v>126</v>
      </c>
      <c r="O52" s="132" t="str">
        <f t="shared" si="2"/>
        <v/>
      </c>
      <c r="P52" s="133" t="str">
        <f t="shared" si="3"/>
        <v/>
      </c>
      <c r="Q52" s="95" t="s">
        <v>126</v>
      </c>
      <c r="R52" s="134" t="str">
        <f t="shared" si="4"/>
        <v/>
      </c>
      <c r="S52" s="128" t="str">
        <f t="shared" si="0"/>
        <v/>
      </c>
      <c r="T52" s="122" t="s">
        <v>126</v>
      </c>
      <c r="U52" s="135" t="str">
        <f t="shared" si="5"/>
        <v/>
      </c>
      <c r="V52" s="128" t="str">
        <f t="shared" si="6"/>
        <v/>
      </c>
      <c r="W52" s="122" t="s">
        <v>126</v>
      </c>
      <c r="X52" s="135" t="str">
        <f t="shared" si="7"/>
        <v/>
      </c>
      <c r="Y52" s="286"/>
      <c r="Z52" s="113"/>
      <c r="AA52" s="119"/>
    </row>
    <row r="53" spans="2:30" ht="18" customHeight="1">
      <c r="B53" s="79"/>
      <c r="C53" s="271"/>
      <c r="D53" s="271"/>
      <c r="E53" s="271"/>
      <c r="F53" s="271"/>
      <c r="G53" s="90"/>
      <c r="H53" s="91" t="s">
        <v>126</v>
      </c>
      <c r="I53" s="92"/>
      <c r="J53" s="93"/>
      <c r="K53" s="91" t="s">
        <v>126</v>
      </c>
      <c r="L53" s="94"/>
      <c r="M53" s="131" t="str">
        <f t="shared" si="1"/>
        <v/>
      </c>
      <c r="N53" s="95" t="s">
        <v>126</v>
      </c>
      <c r="O53" s="132" t="str">
        <f t="shared" si="2"/>
        <v/>
      </c>
      <c r="P53" s="133" t="str">
        <f t="shared" si="3"/>
        <v/>
      </c>
      <c r="Q53" s="95" t="s">
        <v>126</v>
      </c>
      <c r="R53" s="134" t="str">
        <f t="shared" si="4"/>
        <v/>
      </c>
      <c r="S53" s="128" t="str">
        <f t="shared" si="0"/>
        <v/>
      </c>
      <c r="T53" s="122" t="s">
        <v>126</v>
      </c>
      <c r="U53" s="135" t="str">
        <f t="shared" si="5"/>
        <v/>
      </c>
      <c r="V53" s="128" t="str">
        <f t="shared" si="6"/>
        <v/>
      </c>
      <c r="W53" s="122" t="s">
        <v>126</v>
      </c>
      <c r="X53" s="135" t="str">
        <f t="shared" si="7"/>
        <v/>
      </c>
      <c r="Y53" s="286"/>
      <c r="Z53" s="113"/>
      <c r="AA53" s="120"/>
    </row>
    <row r="54" spans="2:30" ht="18" customHeight="1">
      <c r="B54" s="77">
        <f>IF(B51&lt;&gt;"",IF(MONTH(B51)&lt;&gt;MONTH(B51+1),"",B51+1),"")</f>
        <v>41095</v>
      </c>
      <c r="C54" s="270"/>
      <c r="D54" s="270"/>
      <c r="E54" s="270"/>
      <c r="F54" s="270"/>
      <c r="G54" s="84"/>
      <c r="H54" s="85" t="s">
        <v>126</v>
      </c>
      <c r="I54" s="86"/>
      <c r="J54" s="87"/>
      <c r="K54" s="85" t="s">
        <v>126</v>
      </c>
      <c r="L54" s="88"/>
      <c r="M54" s="124" t="str">
        <f t="shared" si="1"/>
        <v/>
      </c>
      <c r="N54" s="89" t="s">
        <v>126</v>
      </c>
      <c r="O54" s="125" t="str">
        <f t="shared" si="2"/>
        <v/>
      </c>
      <c r="P54" s="126" t="str">
        <f t="shared" si="3"/>
        <v/>
      </c>
      <c r="Q54" s="89" t="s">
        <v>126</v>
      </c>
      <c r="R54" s="127" t="str">
        <f t="shared" si="4"/>
        <v/>
      </c>
      <c r="S54" s="130" t="str">
        <f t="shared" si="0"/>
        <v/>
      </c>
      <c r="T54" s="121" t="s">
        <v>126</v>
      </c>
      <c r="U54" s="129" t="str">
        <f t="shared" si="5"/>
        <v/>
      </c>
      <c r="V54" s="130" t="str">
        <f t="shared" si="6"/>
        <v/>
      </c>
      <c r="W54" s="121" t="s">
        <v>126</v>
      </c>
      <c r="X54" s="129" t="str">
        <f t="shared" si="7"/>
        <v/>
      </c>
      <c r="Y54" s="285">
        <f>処理用!P54</f>
        <v>0</v>
      </c>
      <c r="Z54" s="112"/>
      <c r="AA54" s="118"/>
    </row>
    <row r="55" spans="2:30" ht="18" customHeight="1">
      <c r="B55" s="78" t="str">
        <f>IF(B54&lt;&gt;"",TEXT(WEEKDAY(B54,1),"(aaa)"),"")</f>
        <v>(木)</v>
      </c>
      <c r="C55" s="271"/>
      <c r="D55" s="271"/>
      <c r="E55" s="271"/>
      <c r="F55" s="271"/>
      <c r="G55" s="90"/>
      <c r="H55" s="91" t="s">
        <v>126</v>
      </c>
      <c r="I55" s="92"/>
      <c r="J55" s="93"/>
      <c r="K55" s="91" t="s">
        <v>126</v>
      </c>
      <c r="L55" s="94"/>
      <c r="M55" s="131" t="str">
        <f t="shared" si="1"/>
        <v/>
      </c>
      <c r="N55" s="95" t="s">
        <v>126</v>
      </c>
      <c r="O55" s="132" t="str">
        <f t="shared" si="2"/>
        <v/>
      </c>
      <c r="P55" s="133" t="str">
        <f t="shared" si="3"/>
        <v/>
      </c>
      <c r="Q55" s="95" t="s">
        <v>126</v>
      </c>
      <c r="R55" s="134" t="str">
        <f t="shared" si="4"/>
        <v/>
      </c>
      <c r="S55" s="128" t="str">
        <f t="shared" si="0"/>
        <v/>
      </c>
      <c r="T55" s="122" t="s">
        <v>126</v>
      </c>
      <c r="U55" s="135" t="str">
        <f t="shared" si="5"/>
        <v/>
      </c>
      <c r="V55" s="128" t="str">
        <f t="shared" si="6"/>
        <v/>
      </c>
      <c r="W55" s="122" t="s">
        <v>126</v>
      </c>
      <c r="X55" s="135" t="str">
        <f t="shared" si="7"/>
        <v/>
      </c>
      <c r="Y55" s="286"/>
      <c r="Z55" s="113"/>
      <c r="AA55" s="119"/>
    </row>
    <row r="56" spans="2:30" ht="18" customHeight="1">
      <c r="B56" s="79" t="s">
        <v>88</v>
      </c>
      <c r="C56" s="271"/>
      <c r="D56" s="271"/>
      <c r="E56" s="271"/>
      <c r="F56" s="271"/>
      <c r="G56" s="90"/>
      <c r="H56" s="91" t="s">
        <v>126</v>
      </c>
      <c r="I56" s="92"/>
      <c r="J56" s="93"/>
      <c r="K56" s="91" t="s">
        <v>126</v>
      </c>
      <c r="L56" s="94"/>
      <c r="M56" s="131" t="str">
        <f t="shared" si="1"/>
        <v/>
      </c>
      <c r="N56" s="95" t="s">
        <v>126</v>
      </c>
      <c r="O56" s="132" t="str">
        <f t="shared" si="2"/>
        <v/>
      </c>
      <c r="P56" s="133" t="str">
        <f t="shared" si="3"/>
        <v/>
      </c>
      <c r="Q56" s="95" t="s">
        <v>126</v>
      </c>
      <c r="R56" s="134" t="str">
        <f t="shared" si="4"/>
        <v/>
      </c>
      <c r="S56" s="128" t="str">
        <f t="shared" si="0"/>
        <v/>
      </c>
      <c r="T56" s="122" t="s">
        <v>126</v>
      </c>
      <c r="U56" s="135" t="str">
        <f t="shared" si="5"/>
        <v/>
      </c>
      <c r="V56" s="128" t="str">
        <f t="shared" si="6"/>
        <v/>
      </c>
      <c r="W56" s="122" t="s">
        <v>126</v>
      </c>
      <c r="X56" s="135" t="str">
        <f t="shared" si="7"/>
        <v/>
      </c>
      <c r="Y56" s="286"/>
      <c r="Z56" s="113"/>
      <c r="AA56" s="120"/>
    </row>
    <row r="57" spans="2:30" ht="18" customHeight="1">
      <c r="B57" s="77">
        <f>IF(B54&lt;&gt;"",IF(MONTH(B54)&lt;&gt;MONTH(B54+1),"",B54+1),"")</f>
        <v>41096</v>
      </c>
      <c r="C57" s="270"/>
      <c r="D57" s="270"/>
      <c r="E57" s="270"/>
      <c r="F57" s="270"/>
      <c r="G57" s="84"/>
      <c r="H57" s="85" t="s">
        <v>126</v>
      </c>
      <c r="I57" s="86"/>
      <c r="J57" s="87"/>
      <c r="K57" s="85" t="s">
        <v>126</v>
      </c>
      <c r="L57" s="88"/>
      <c r="M57" s="124" t="str">
        <f t="shared" si="1"/>
        <v/>
      </c>
      <c r="N57" s="89" t="s">
        <v>126</v>
      </c>
      <c r="O57" s="125" t="str">
        <f t="shared" si="2"/>
        <v/>
      </c>
      <c r="P57" s="126" t="str">
        <f t="shared" si="3"/>
        <v/>
      </c>
      <c r="Q57" s="89" t="s">
        <v>126</v>
      </c>
      <c r="R57" s="127" t="str">
        <f t="shared" si="4"/>
        <v/>
      </c>
      <c r="S57" s="130" t="str">
        <f t="shared" si="0"/>
        <v/>
      </c>
      <c r="T57" s="121" t="s">
        <v>126</v>
      </c>
      <c r="U57" s="129" t="str">
        <f t="shared" si="5"/>
        <v/>
      </c>
      <c r="V57" s="130" t="str">
        <f t="shared" si="6"/>
        <v/>
      </c>
      <c r="W57" s="121" t="s">
        <v>126</v>
      </c>
      <c r="X57" s="129" t="str">
        <f t="shared" si="7"/>
        <v/>
      </c>
      <c r="Y57" s="285">
        <f>処理用!P57</f>
        <v>0</v>
      </c>
      <c r="Z57" s="112"/>
      <c r="AA57" s="118"/>
    </row>
    <row r="58" spans="2:30" ht="18" customHeight="1">
      <c r="B58" s="78" t="str">
        <f>IF(B57&lt;&gt;"",TEXT(WEEKDAY(B57,1),"(aaa)"),"")</f>
        <v>(金)</v>
      </c>
      <c r="C58" s="271"/>
      <c r="D58" s="271"/>
      <c r="E58" s="271"/>
      <c r="F58" s="271"/>
      <c r="G58" s="90"/>
      <c r="H58" s="91" t="s">
        <v>126</v>
      </c>
      <c r="I58" s="92"/>
      <c r="J58" s="93"/>
      <c r="K58" s="91" t="s">
        <v>126</v>
      </c>
      <c r="L58" s="94"/>
      <c r="M58" s="131" t="str">
        <f t="shared" ref="M58:M101" si="8">IF(G58&lt;&gt;"",G58,"")</f>
        <v/>
      </c>
      <c r="N58" s="95" t="s">
        <v>126</v>
      </c>
      <c r="O58" s="132" t="str">
        <f t="shared" ref="O58:O101" si="9">IF(I58&lt;&gt;"",I58,"")</f>
        <v/>
      </c>
      <c r="P58" s="133" t="str">
        <f t="shared" ref="P58:P101" si="10">IF(J58&lt;&gt;"",J58,"")</f>
        <v/>
      </c>
      <c r="Q58" s="95" t="s">
        <v>126</v>
      </c>
      <c r="R58" s="134" t="str">
        <f t="shared" ref="R58:R101" si="11">IF(L58&lt;&gt;"",L58,"")</f>
        <v/>
      </c>
      <c r="S58" s="128" t="str">
        <f t="shared" ref="S58:S101" si="12">IF(M58&lt;&gt;"",M58,"")</f>
        <v/>
      </c>
      <c r="T58" s="122" t="s">
        <v>126</v>
      </c>
      <c r="U58" s="135" t="str">
        <f t="shared" ref="U58:U101" si="13">IF(O58&lt;&gt;"",O58,"")</f>
        <v/>
      </c>
      <c r="V58" s="128" t="str">
        <f t="shared" ref="V58:V101" si="14">IF(P58&lt;&gt;"",P58,"")</f>
        <v/>
      </c>
      <c r="W58" s="122" t="s">
        <v>126</v>
      </c>
      <c r="X58" s="135" t="str">
        <f t="shared" ref="X58:X101" si="15">IF(R58&lt;&gt;"",R58,"")</f>
        <v/>
      </c>
      <c r="Y58" s="286"/>
      <c r="Z58" s="113"/>
      <c r="AA58" s="119"/>
    </row>
    <row r="59" spans="2:30" ht="18" customHeight="1">
      <c r="B59" s="79" t="s">
        <v>86</v>
      </c>
      <c r="C59" s="271"/>
      <c r="D59" s="271"/>
      <c r="E59" s="271"/>
      <c r="F59" s="271"/>
      <c r="G59" s="90"/>
      <c r="H59" s="91" t="s">
        <v>126</v>
      </c>
      <c r="I59" s="92"/>
      <c r="J59" s="93"/>
      <c r="K59" s="91" t="s">
        <v>126</v>
      </c>
      <c r="L59" s="94"/>
      <c r="M59" s="131" t="str">
        <f t="shared" si="8"/>
        <v/>
      </c>
      <c r="N59" s="95" t="s">
        <v>126</v>
      </c>
      <c r="O59" s="132" t="str">
        <f t="shared" si="9"/>
        <v/>
      </c>
      <c r="P59" s="133" t="str">
        <f t="shared" si="10"/>
        <v/>
      </c>
      <c r="Q59" s="95" t="s">
        <v>126</v>
      </c>
      <c r="R59" s="134" t="str">
        <f t="shared" si="11"/>
        <v/>
      </c>
      <c r="S59" s="128" t="str">
        <f t="shared" si="12"/>
        <v/>
      </c>
      <c r="T59" s="122" t="s">
        <v>126</v>
      </c>
      <c r="U59" s="135" t="str">
        <f t="shared" si="13"/>
        <v/>
      </c>
      <c r="V59" s="128" t="str">
        <f t="shared" si="14"/>
        <v/>
      </c>
      <c r="W59" s="122" t="s">
        <v>126</v>
      </c>
      <c r="X59" s="135" t="str">
        <f t="shared" si="15"/>
        <v/>
      </c>
      <c r="Y59" s="286"/>
      <c r="Z59" s="113"/>
      <c r="AA59" s="120"/>
    </row>
    <row r="60" spans="2:30" ht="18" customHeight="1">
      <c r="B60" s="77">
        <f>IF(B57&lt;&gt;"",IF(MONTH(B57)&lt;&gt;MONTH(B57+1),"",B57+1),"")</f>
        <v>41097</v>
      </c>
      <c r="C60" s="270"/>
      <c r="D60" s="270"/>
      <c r="E60" s="270"/>
      <c r="F60" s="270"/>
      <c r="G60" s="84"/>
      <c r="H60" s="85" t="s">
        <v>126</v>
      </c>
      <c r="I60" s="86"/>
      <c r="J60" s="87"/>
      <c r="K60" s="85" t="s">
        <v>126</v>
      </c>
      <c r="L60" s="88"/>
      <c r="M60" s="124" t="str">
        <f t="shared" si="8"/>
        <v/>
      </c>
      <c r="N60" s="89" t="s">
        <v>126</v>
      </c>
      <c r="O60" s="125" t="str">
        <f t="shared" si="9"/>
        <v/>
      </c>
      <c r="P60" s="126" t="str">
        <f t="shared" si="10"/>
        <v/>
      </c>
      <c r="Q60" s="89" t="s">
        <v>126</v>
      </c>
      <c r="R60" s="127" t="str">
        <f t="shared" si="11"/>
        <v/>
      </c>
      <c r="S60" s="130" t="str">
        <f t="shared" si="12"/>
        <v/>
      </c>
      <c r="T60" s="121" t="s">
        <v>126</v>
      </c>
      <c r="U60" s="129" t="str">
        <f t="shared" si="13"/>
        <v/>
      </c>
      <c r="V60" s="130" t="str">
        <f t="shared" si="14"/>
        <v/>
      </c>
      <c r="W60" s="121" t="s">
        <v>126</v>
      </c>
      <c r="X60" s="129" t="str">
        <f t="shared" si="15"/>
        <v/>
      </c>
      <c r="Y60" s="285">
        <f>処理用!P60</f>
        <v>0</v>
      </c>
      <c r="Z60" s="112"/>
      <c r="AA60" s="118"/>
    </row>
    <row r="61" spans="2:30" ht="18" customHeight="1">
      <c r="B61" s="78" t="str">
        <f>IF(B60&lt;&gt;"",TEXT(WEEKDAY(B60,1),"(aaa)"),"")</f>
        <v>(土)</v>
      </c>
      <c r="C61" s="271"/>
      <c r="D61" s="271"/>
      <c r="E61" s="271"/>
      <c r="F61" s="271"/>
      <c r="G61" s="90"/>
      <c r="H61" s="91" t="s">
        <v>126</v>
      </c>
      <c r="I61" s="92"/>
      <c r="J61" s="93"/>
      <c r="K61" s="91" t="s">
        <v>126</v>
      </c>
      <c r="L61" s="94"/>
      <c r="M61" s="131" t="str">
        <f t="shared" si="8"/>
        <v/>
      </c>
      <c r="N61" s="95" t="s">
        <v>126</v>
      </c>
      <c r="O61" s="132" t="str">
        <f t="shared" si="9"/>
        <v/>
      </c>
      <c r="P61" s="133" t="str">
        <f t="shared" si="10"/>
        <v/>
      </c>
      <c r="Q61" s="95" t="s">
        <v>126</v>
      </c>
      <c r="R61" s="134" t="str">
        <f t="shared" si="11"/>
        <v/>
      </c>
      <c r="S61" s="128" t="str">
        <f t="shared" si="12"/>
        <v/>
      </c>
      <c r="T61" s="122" t="s">
        <v>126</v>
      </c>
      <c r="U61" s="135" t="str">
        <f t="shared" si="13"/>
        <v/>
      </c>
      <c r="V61" s="128" t="str">
        <f t="shared" si="14"/>
        <v/>
      </c>
      <c r="W61" s="122" t="s">
        <v>126</v>
      </c>
      <c r="X61" s="135" t="str">
        <f t="shared" si="15"/>
        <v/>
      </c>
      <c r="Y61" s="286"/>
      <c r="Z61" s="113"/>
      <c r="AA61" s="119"/>
      <c r="AB61" s="12"/>
      <c r="AC61" s="12"/>
      <c r="AD61" s="12"/>
    </row>
    <row r="62" spans="2:30" ht="18" customHeight="1">
      <c r="B62" s="79"/>
      <c r="C62" s="271"/>
      <c r="D62" s="271"/>
      <c r="E62" s="271"/>
      <c r="F62" s="271"/>
      <c r="G62" s="90"/>
      <c r="H62" s="91" t="s">
        <v>126</v>
      </c>
      <c r="I62" s="92"/>
      <c r="J62" s="93"/>
      <c r="K62" s="91" t="s">
        <v>126</v>
      </c>
      <c r="L62" s="94"/>
      <c r="M62" s="131" t="str">
        <f t="shared" si="8"/>
        <v/>
      </c>
      <c r="N62" s="95" t="s">
        <v>126</v>
      </c>
      <c r="O62" s="132" t="str">
        <f t="shared" si="9"/>
        <v/>
      </c>
      <c r="P62" s="133" t="str">
        <f t="shared" si="10"/>
        <v/>
      </c>
      <c r="Q62" s="95" t="s">
        <v>126</v>
      </c>
      <c r="R62" s="134" t="str">
        <f t="shared" si="11"/>
        <v/>
      </c>
      <c r="S62" s="128" t="str">
        <f t="shared" si="12"/>
        <v/>
      </c>
      <c r="T62" s="122" t="s">
        <v>126</v>
      </c>
      <c r="U62" s="135" t="str">
        <f t="shared" si="13"/>
        <v/>
      </c>
      <c r="V62" s="128" t="str">
        <f t="shared" si="14"/>
        <v/>
      </c>
      <c r="W62" s="122" t="s">
        <v>126</v>
      </c>
      <c r="X62" s="135" t="str">
        <f t="shared" si="15"/>
        <v/>
      </c>
      <c r="Y62" s="286"/>
      <c r="Z62" s="113"/>
      <c r="AA62" s="120"/>
    </row>
    <row r="63" spans="2:30" ht="18" customHeight="1">
      <c r="B63" s="77">
        <f>IF(B60&lt;&gt;"",IF(MONTH(B60)&lt;&gt;MONTH(B60+1),"",B60+1),"")</f>
        <v>41098</v>
      </c>
      <c r="C63" s="270"/>
      <c r="D63" s="270"/>
      <c r="E63" s="270"/>
      <c r="F63" s="270"/>
      <c r="G63" s="84"/>
      <c r="H63" s="85" t="s">
        <v>126</v>
      </c>
      <c r="I63" s="86"/>
      <c r="J63" s="87"/>
      <c r="K63" s="85" t="s">
        <v>126</v>
      </c>
      <c r="L63" s="88"/>
      <c r="M63" s="124" t="str">
        <f t="shared" si="8"/>
        <v/>
      </c>
      <c r="N63" s="89" t="s">
        <v>126</v>
      </c>
      <c r="O63" s="125" t="str">
        <f t="shared" si="9"/>
        <v/>
      </c>
      <c r="P63" s="126" t="str">
        <f t="shared" si="10"/>
        <v/>
      </c>
      <c r="Q63" s="89" t="s">
        <v>126</v>
      </c>
      <c r="R63" s="127" t="str">
        <f t="shared" si="11"/>
        <v/>
      </c>
      <c r="S63" s="130" t="str">
        <f t="shared" si="12"/>
        <v/>
      </c>
      <c r="T63" s="121" t="s">
        <v>126</v>
      </c>
      <c r="U63" s="129" t="str">
        <f t="shared" si="13"/>
        <v/>
      </c>
      <c r="V63" s="130" t="str">
        <f t="shared" si="14"/>
        <v/>
      </c>
      <c r="W63" s="121" t="s">
        <v>126</v>
      </c>
      <c r="X63" s="129" t="str">
        <f t="shared" si="15"/>
        <v/>
      </c>
      <c r="Y63" s="285">
        <f>処理用!P63</f>
        <v>0</v>
      </c>
      <c r="Z63" s="112"/>
      <c r="AA63" s="118"/>
    </row>
    <row r="64" spans="2:30" ht="18" customHeight="1">
      <c r="B64" s="78" t="str">
        <f>IF(B63&lt;&gt;"",TEXT(WEEKDAY(B63,1),"(aaa)"),"")</f>
        <v>(日)</v>
      </c>
      <c r="C64" s="271"/>
      <c r="D64" s="271"/>
      <c r="E64" s="271"/>
      <c r="F64" s="271"/>
      <c r="G64" s="90"/>
      <c r="H64" s="91" t="s">
        <v>126</v>
      </c>
      <c r="I64" s="92"/>
      <c r="J64" s="93"/>
      <c r="K64" s="91" t="s">
        <v>126</v>
      </c>
      <c r="L64" s="94"/>
      <c r="M64" s="131" t="str">
        <f t="shared" si="8"/>
        <v/>
      </c>
      <c r="N64" s="95" t="s">
        <v>126</v>
      </c>
      <c r="O64" s="132" t="str">
        <f t="shared" si="9"/>
        <v/>
      </c>
      <c r="P64" s="133" t="str">
        <f t="shared" si="10"/>
        <v/>
      </c>
      <c r="Q64" s="95" t="s">
        <v>126</v>
      </c>
      <c r="R64" s="134" t="str">
        <f t="shared" si="11"/>
        <v/>
      </c>
      <c r="S64" s="128" t="str">
        <f t="shared" si="12"/>
        <v/>
      </c>
      <c r="T64" s="122" t="s">
        <v>126</v>
      </c>
      <c r="U64" s="135" t="str">
        <f t="shared" si="13"/>
        <v/>
      </c>
      <c r="V64" s="128" t="str">
        <f t="shared" si="14"/>
        <v/>
      </c>
      <c r="W64" s="122" t="s">
        <v>126</v>
      </c>
      <c r="X64" s="135" t="str">
        <f t="shared" si="15"/>
        <v/>
      </c>
      <c r="Y64" s="286"/>
      <c r="Z64" s="113"/>
      <c r="AA64" s="119"/>
    </row>
    <row r="65" spans="2:30" ht="18" customHeight="1">
      <c r="B65" s="79"/>
      <c r="C65" s="271"/>
      <c r="D65" s="271"/>
      <c r="E65" s="271"/>
      <c r="F65" s="271"/>
      <c r="G65" s="90"/>
      <c r="H65" s="91" t="s">
        <v>126</v>
      </c>
      <c r="I65" s="92"/>
      <c r="J65" s="93"/>
      <c r="K65" s="91" t="s">
        <v>126</v>
      </c>
      <c r="L65" s="94"/>
      <c r="M65" s="131" t="str">
        <f t="shared" si="8"/>
        <v/>
      </c>
      <c r="N65" s="95" t="s">
        <v>126</v>
      </c>
      <c r="O65" s="132" t="str">
        <f t="shared" si="9"/>
        <v/>
      </c>
      <c r="P65" s="133" t="str">
        <f t="shared" si="10"/>
        <v/>
      </c>
      <c r="Q65" s="95" t="s">
        <v>126</v>
      </c>
      <c r="R65" s="134" t="str">
        <f t="shared" si="11"/>
        <v/>
      </c>
      <c r="S65" s="128" t="str">
        <f t="shared" si="12"/>
        <v/>
      </c>
      <c r="T65" s="122" t="s">
        <v>126</v>
      </c>
      <c r="U65" s="135" t="str">
        <f t="shared" si="13"/>
        <v/>
      </c>
      <c r="V65" s="128" t="str">
        <f t="shared" si="14"/>
        <v/>
      </c>
      <c r="W65" s="122" t="s">
        <v>126</v>
      </c>
      <c r="X65" s="135" t="str">
        <f t="shared" si="15"/>
        <v/>
      </c>
      <c r="Y65" s="286"/>
      <c r="Z65" s="113"/>
      <c r="AA65" s="120"/>
    </row>
    <row r="66" spans="2:30" ht="18" customHeight="1">
      <c r="B66" s="77">
        <f>IF(B63&lt;&gt;"",IF(MONTH(B63)&lt;&gt;MONTH(B63+1),"",B63+1),"")</f>
        <v>41099</v>
      </c>
      <c r="C66" s="270"/>
      <c r="D66" s="270"/>
      <c r="E66" s="270"/>
      <c r="F66" s="270"/>
      <c r="G66" s="84"/>
      <c r="H66" s="85" t="s">
        <v>126</v>
      </c>
      <c r="I66" s="86"/>
      <c r="J66" s="87"/>
      <c r="K66" s="85" t="s">
        <v>126</v>
      </c>
      <c r="L66" s="88"/>
      <c r="M66" s="124" t="str">
        <f t="shared" si="8"/>
        <v/>
      </c>
      <c r="N66" s="89" t="s">
        <v>126</v>
      </c>
      <c r="O66" s="125" t="str">
        <f t="shared" si="9"/>
        <v/>
      </c>
      <c r="P66" s="126" t="str">
        <f t="shared" si="10"/>
        <v/>
      </c>
      <c r="Q66" s="89" t="s">
        <v>126</v>
      </c>
      <c r="R66" s="127" t="str">
        <f t="shared" si="11"/>
        <v/>
      </c>
      <c r="S66" s="130" t="str">
        <f t="shared" si="12"/>
        <v/>
      </c>
      <c r="T66" s="121" t="s">
        <v>126</v>
      </c>
      <c r="U66" s="129" t="str">
        <f t="shared" si="13"/>
        <v/>
      </c>
      <c r="V66" s="130" t="str">
        <f t="shared" si="14"/>
        <v/>
      </c>
      <c r="W66" s="121" t="s">
        <v>126</v>
      </c>
      <c r="X66" s="129" t="str">
        <f t="shared" si="15"/>
        <v/>
      </c>
      <c r="Y66" s="285">
        <f>処理用!P66</f>
        <v>0</v>
      </c>
      <c r="Z66" s="112"/>
      <c r="AA66" s="118"/>
    </row>
    <row r="67" spans="2:30" ht="18" customHeight="1">
      <c r="B67" s="78" t="str">
        <f>IF(B66&lt;&gt;"",TEXT(WEEKDAY(B66,1),"(aaa)"),"")</f>
        <v>(月)</v>
      </c>
      <c r="C67" s="271"/>
      <c r="D67" s="271"/>
      <c r="E67" s="271"/>
      <c r="F67" s="271"/>
      <c r="G67" s="90"/>
      <c r="H67" s="91" t="s">
        <v>126</v>
      </c>
      <c r="I67" s="92"/>
      <c r="J67" s="93"/>
      <c r="K67" s="91" t="s">
        <v>126</v>
      </c>
      <c r="L67" s="94"/>
      <c r="M67" s="131" t="str">
        <f t="shared" si="8"/>
        <v/>
      </c>
      <c r="N67" s="95" t="s">
        <v>126</v>
      </c>
      <c r="O67" s="132" t="str">
        <f t="shared" si="9"/>
        <v/>
      </c>
      <c r="P67" s="133" t="str">
        <f t="shared" si="10"/>
        <v/>
      </c>
      <c r="Q67" s="95" t="s">
        <v>126</v>
      </c>
      <c r="R67" s="134" t="str">
        <f t="shared" si="11"/>
        <v/>
      </c>
      <c r="S67" s="128" t="str">
        <f t="shared" si="12"/>
        <v/>
      </c>
      <c r="T67" s="122" t="s">
        <v>126</v>
      </c>
      <c r="U67" s="135" t="str">
        <f t="shared" si="13"/>
        <v/>
      </c>
      <c r="V67" s="128" t="str">
        <f t="shared" si="14"/>
        <v/>
      </c>
      <c r="W67" s="122" t="s">
        <v>126</v>
      </c>
      <c r="X67" s="135" t="str">
        <f t="shared" si="15"/>
        <v/>
      </c>
      <c r="Y67" s="286"/>
      <c r="Z67" s="113"/>
      <c r="AA67" s="119"/>
    </row>
    <row r="68" spans="2:30" ht="18" customHeight="1">
      <c r="B68" s="79"/>
      <c r="C68" s="271"/>
      <c r="D68" s="271"/>
      <c r="E68" s="271"/>
      <c r="F68" s="271"/>
      <c r="G68" s="90"/>
      <c r="H68" s="91" t="s">
        <v>126</v>
      </c>
      <c r="I68" s="92"/>
      <c r="J68" s="93"/>
      <c r="K68" s="91" t="s">
        <v>126</v>
      </c>
      <c r="L68" s="94"/>
      <c r="M68" s="131" t="str">
        <f t="shared" si="8"/>
        <v/>
      </c>
      <c r="N68" s="95" t="s">
        <v>126</v>
      </c>
      <c r="O68" s="132" t="str">
        <f t="shared" si="9"/>
        <v/>
      </c>
      <c r="P68" s="133" t="str">
        <f t="shared" si="10"/>
        <v/>
      </c>
      <c r="Q68" s="95" t="s">
        <v>126</v>
      </c>
      <c r="R68" s="134" t="str">
        <f t="shared" si="11"/>
        <v/>
      </c>
      <c r="S68" s="128" t="str">
        <f t="shared" si="12"/>
        <v/>
      </c>
      <c r="T68" s="122" t="s">
        <v>126</v>
      </c>
      <c r="U68" s="135" t="str">
        <f t="shared" si="13"/>
        <v/>
      </c>
      <c r="V68" s="128" t="str">
        <f t="shared" si="14"/>
        <v/>
      </c>
      <c r="W68" s="122" t="s">
        <v>126</v>
      </c>
      <c r="X68" s="135" t="str">
        <f t="shared" si="15"/>
        <v/>
      </c>
      <c r="Y68" s="286"/>
      <c r="Z68" s="113"/>
      <c r="AA68" s="120"/>
    </row>
    <row r="69" spans="2:30" ht="18" customHeight="1">
      <c r="B69" s="77">
        <f>IF(B66&lt;&gt;"",IF(MONTH(B66)&lt;&gt;MONTH(B66+1),"",B66+1),"")</f>
        <v>41100</v>
      </c>
      <c r="C69" s="270"/>
      <c r="D69" s="270"/>
      <c r="E69" s="270"/>
      <c r="F69" s="270"/>
      <c r="G69" s="84"/>
      <c r="H69" s="85" t="s">
        <v>126</v>
      </c>
      <c r="I69" s="86"/>
      <c r="J69" s="87"/>
      <c r="K69" s="85" t="s">
        <v>126</v>
      </c>
      <c r="L69" s="88"/>
      <c r="M69" s="124" t="str">
        <f t="shared" si="8"/>
        <v/>
      </c>
      <c r="N69" s="89" t="s">
        <v>126</v>
      </c>
      <c r="O69" s="125" t="str">
        <f t="shared" si="9"/>
        <v/>
      </c>
      <c r="P69" s="126" t="str">
        <f t="shared" si="10"/>
        <v/>
      </c>
      <c r="Q69" s="89" t="s">
        <v>126</v>
      </c>
      <c r="R69" s="127" t="str">
        <f t="shared" si="11"/>
        <v/>
      </c>
      <c r="S69" s="130" t="str">
        <f t="shared" si="12"/>
        <v/>
      </c>
      <c r="T69" s="121" t="s">
        <v>126</v>
      </c>
      <c r="U69" s="129" t="str">
        <f t="shared" si="13"/>
        <v/>
      </c>
      <c r="V69" s="130" t="str">
        <f t="shared" si="14"/>
        <v/>
      </c>
      <c r="W69" s="121" t="s">
        <v>126</v>
      </c>
      <c r="X69" s="129" t="str">
        <f t="shared" si="15"/>
        <v/>
      </c>
      <c r="Y69" s="285">
        <f>処理用!P69</f>
        <v>0</v>
      </c>
      <c r="Z69" s="112"/>
      <c r="AA69" s="118"/>
    </row>
    <row r="70" spans="2:30" ht="18" customHeight="1">
      <c r="B70" s="78" t="str">
        <f>IF(B69&lt;&gt;"",TEXT(WEEKDAY(B69,1),"(aaa)"),"")</f>
        <v>(火)</v>
      </c>
      <c r="C70" s="271"/>
      <c r="D70" s="271"/>
      <c r="E70" s="271"/>
      <c r="F70" s="271"/>
      <c r="G70" s="90"/>
      <c r="H70" s="91" t="s">
        <v>126</v>
      </c>
      <c r="I70" s="92"/>
      <c r="J70" s="93"/>
      <c r="K70" s="91" t="s">
        <v>126</v>
      </c>
      <c r="L70" s="94"/>
      <c r="M70" s="131" t="str">
        <f t="shared" si="8"/>
        <v/>
      </c>
      <c r="N70" s="95" t="s">
        <v>126</v>
      </c>
      <c r="O70" s="132" t="str">
        <f t="shared" si="9"/>
        <v/>
      </c>
      <c r="P70" s="133" t="str">
        <f t="shared" si="10"/>
        <v/>
      </c>
      <c r="Q70" s="95" t="s">
        <v>126</v>
      </c>
      <c r="R70" s="134" t="str">
        <f t="shared" si="11"/>
        <v/>
      </c>
      <c r="S70" s="128" t="str">
        <f t="shared" si="12"/>
        <v/>
      </c>
      <c r="T70" s="122" t="s">
        <v>126</v>
      </c>
      <c r="U70" s="135" t="str">
        <f t="shared" si="13"/>
        <v/>
      </c>
      <c r="V70" s="128" t="str">
        <f t="shared" si="14"/>
        <v/>
      </c>
      <c r="W70" s="122" t="s">
        <v>126</v>
      </c>
      <c r="X70" s="135" t="str">
        <f t="shared" si="15"/>
        <v/>
      </c>
      <c r="Y70" s="286"/>
      <c r="Z70" s="113"/>
      <c r="AA70" s="119"/>
    </row>
    <row r="71" spans="2:30" ht="18" customHeight="1">
      <c r="B71" s="79"/>
      <c r="C71" s="271"/>
      <c r="D71" s="271"/>
      <c r="E71" s="271"/>
      <c r="F71" s="271"/>
      <c r="G71" s="90"/>
      <c r="H71" s="91" t="s">
        <v>126</v>
      </c>
      <c r="I71" s="92"/>
      <c r="J71" s="93"/>
      <c r="K71" s="91" t="s">
        <v>126</v>
      </c>
      <c r="L71" s="94"/>
      <c r="M71" s="131" t="str">
        <f t="shared" si="8"/>
        <v/>
      </c>
      <c r="N71" s="95" t="s">
        <v>126</v>
      </c>
      <c r="O71" s="132" t="str">
        <f t="shared" si="9"/>
        <v/>
      </c>
      <c r="P71" s="133" t="str">
        <f t="shared" si="10"/>
        <v/>
      </c>
      <c r="Q71" s="95" t="s">
        <v>126</v>
      </c>
      <c r="R71" s="134" t="str">
        <f t="shared" si="11"/>
        <v/>
      </c>
      <c r="S71" s="128" t="str">
        <f t="shared" si="12"/>
        <v/>
      </c>
      <c r="T71" s="122" t="s">
        <v>126</v>
      </c>
      <c r="U71" s="135" t="str">
        <f t="shared" si="13"/>
        <v/>
      </c>
      <c r="V71" s="128" t="str">
        <f t="shared" si="14"/>
        <v/>
      </c>
      <c r="W71" s="122" t="s">
        <v>126</v>
      </c>
      <c r="X71" s="135" t="str">
        <f t="shared" si="15"/>
        <v/>
      </c>
      <c r="Y71" s="286"/>
      <c r="Z71" s="113"/>
      <c r="AA71" s="120"/>
    </row>
    <row r="72" spans="2:30" ht="18" customHeight="1">
      <c r="B72" s="77">
        <f>IF(B69&lt;&gt;"",IF(MONTH(B69)&lt;&gt;MONTH(B69+1),"",B69+1),"")</f>
        <v>41101</v>
      </c>
      <c r="C72" s="270"/>
      <c r="D72" s="270"/>
      <c r="E72" s="270"/>
      <c r="F72" s="270"/>
      <c r="G72" s="84"/>
      <c r="H72" s="85" t="s">
        <v>126</v>
      </c>
      <c r="I72" s="86"/>
      <c r="J72" s="87"/>
      <c r="K72" s="85" t="s">
        <v>126</v>
      </c>
      <c r="L72" s="88"/>
      <c r="M72" s="124" t="str">
        <f t="shared" si="8"/>
        <v/>
      </c>
      <c r="N72" s="89" t="s">
        <v>126</v>
      </c>
      <c r="O72" s="125" t="str">
        <f t="shared" si="9"/>
        <v/>
      </c>
      <c r="P72" s="126" t="str">
        <f t="shared" si="10"/>
        <v/>
      </c>
      <c r="Q72" s="89" t="s">
        <v>126</v>
      </c>
      <c r="R72" s="127" t="str">
        <f t="shared" si="11"/>
        <v/>
      </c>
      <c r="S72" s="130" t="str">
        <f t="shared" si="12"/>
        <v/>
      </c>
      <c r="T72" s="121" t="s">
        <v>126</v>
      </c>
      <c r="U72" s="129" t="str">
        <f t="shared" si="13"/>
        <v/>
      </c>
      <c r="V72" s="130" t="str">
        <f t="shared" si="14"/>
        <v/>
      </c>
      <c r="W72" s="121" t="s">
        <v>126</v>
      </c>
      <c r="X72" s="129" t="str">
        <f t="shared" si="15"/>
        <v/>
      </c>
      <c r="Y72" s="285">
        <f>処理用!P72</f>
        <v>0</v>
      </c>
      <c r="Z72" s="112"/>
      <c r="AA72" s="118"/>
    </row>
    <row r="73" spans="2:30" ht="18" customHeight="1">
      <c r="B73" s="78" t="str">
        <f>IF(B72&lt;&gt;"",TEXT(WEEKDAY(B72,1),"(aaa)"),"")</f>
        <v>(水)</v>
      </c>
      <c r="C73" s="271"/>
      <c r="D73" s="271"/>
      <c r="E73" s="271"/>
      <c r="F73" s="271"/>
      <c r="G73" s="90"/>
      <c r="H73" s="91" t="s">
        <v>126</v>
      </c>
      <c r="I73" s="92"/>
      <c r="J73" s="93"/>
      <c r="K73" s="91" t="s">
        <v>126</v>
      </c>
      <c r="L73" s="94"/>
      <c r="M73" s="131" t="str">
        <f t="shared" si="8"/>
        <v/>
      </c>
      <c r="N73" s="95" t="s">
        <v>126</v>
      </c>
      <c r="O73" s="132" t="str">
        <f t="shared" si="9"/>
        <v/>
      </c>
      <c r="P73" s="133" t="str">
        <f t="shared" si="10"/>
        <v/>
      </c>
      <c r="Q73" s="95" t="s">
        <v>126</v>
      </c>
      <c r="R73" s="134" t="str">
        <f t="shared" si="11"/>
        <v/>
      </c>
      <c r="S73" s="128" t="str">
        <f t="shared" si="12"/>
        <v/>
      </c>
      <c r="T73" s="122" t="s">
        <v>126</v>
      </c>
      <c r="U73" s="135" t="str">
        <f t="shared" si="13"/>
        <v/>
      </c>
      <c r="V73" s="128" t="str">
        <f t="shared" si="14"/>
        <v/>
      </c>
      <c r="W73" s="122" t="s">
        <v>126</v>
      </c>
      <c r="X73" s="135" t="str">
        <f t="shared" si="15"/>
        <v/>
      </c>
      <c r="Y73" s="286"/>
      <c r="Z73" s="113"/>
      <c r="AA73" s="119"/>
    </row>
    <row r="74" spans="2:30" ht="18" customHeight="1">
      <c r="B74" s="79"/>
      <c r="C74" s="271"/>
      <c r="D74" s="271"/>
      <c r="E74" s="271"/>
      <c r="F74" s="271"/>
      <c r="G74" s="90"/>
      <c r="H74" s="91" t="s">
        <v>126</v>
      </c>
      <c r="I74" s="92"/>
      <c r="J74" s="93"/>
      <c r="K74" s="91" t="s">
        <v>126</v>
      </c>
      <c r="L74" s="94"/>
      <c r="M74" s="131" t="str">
        <f t="shared" si="8"/>
        <v/>
      </c>
      <c r="N74" s="95" t="s">
        <v>126</v>
      </c>
      <c r="O74" s="132" t="str">
        <f t="shared" si="9"/>
        <v/>
      </c>
      <c r="P74" s="133" t="str">
        <f t="shared" si="10"/>
        <v/>
      </c>
      <c r="Q74" s="95" t="s">
        <v>126</v>
      </c>
      <c r="R74" s="134" t="str">
        <f t="shared" si="11"/>
        <v/>
      </c>
      <c r="S74" s="128" t="str">
        <f t="shared" si="12"/>
        <v/>
      </c>
      <c r="T74" s="122" t="s">
        <v>126</v>
      </c>
      <c r="U74" s="135" t="str">
        <f t="shared" si="13"/>
        <v/>
      </c>
      <c r="V74" s="128" t="str">
        <f t="shared" si="14"/>
        <v/>
      </c>
      <c r="W74" s="122" t="s">
        <v>126</v>
      </c>
      <c r="X74" s="135" t="str">
        <f t="shared" si="15"/>
        <v/>
      </c>
      <c r="Y74" s="286"/>
      <c r="Z74" s="113"/>
      <c r="AA74" s="120"/>
    </row>
    <row r="75" spans="2:30" ht="18" customHeight="1">
      <c r="B75" s="77">
        <f>IF(B72&lt;&gt;"",IF(MONTH(B72)&lt;&gt;MONTH(B72+1),"",B72+1),"")</f>
        <v>41102</v>
      </c>
      <c r="C75" s="270"/>
      <c r="D75" s="270"/>
      <c r="E75" s="270"/>
      <c r="F75" s="270"/>
      <c r="G75" s="84"/>
      <c r="H75" s="85" t="s">
        <v>126</v>
      </c>
      <c r="I75" s="86"/>
      <c r="J75" s="87"/>
      <c r="K75" s="85" t="s">
        <v>126</v>
      </c>
      <c r="L75" s="88"/>
      <c r="M75" s="124" t="str">
        <f t="shared" si="8"/>
        <v/>
      </c>
      <c r="N75" s="89" t="s">
        <v>126</v>
      </c>
      <c r="O75" s="125" t="str">
        <f t="shared" si="9"/>
        <v/>
      </c>
      <c r="P75" s="126" t="str">
        <f t="shared" si="10"/>
        <v/>
      </c>
      <c r="Q75" s="89" t="s">
        <v>126</v>
      </c>
      <c r="R75" s="127" t="str">
        <f t="shared" si="11"/>
        <v/>
      </c>
      <c r="S75" s="130" t="str">
        <f t="shared" si="12"/>
        <v/>
      </c>
      <c r="T75" s="121" t="s">
        <v>126</v>
      </c>
      <c r="U75" s="129" t="str">
        <f t="shared" si="13"/>
        <v/>
      </c>
      <c r="V75" s="130" t="str">
        <f t="shared" si="14"/>
        <v/>
      </c>
      <c r="W75" s="121" t="s">
        <v>126</v>
      </c>
      <c r="X75" s="129" t="str">
        <f t="shared" si="15"/>
        <v/>
      </c>
      <c r="Y75" s="285">
        <f>処理用!P75</f>
        <v>0</v>
      </c>
      <c r="Z75" s="112"/>
      <c r="AA75" s="118"/>
    </row>
    <row r="76" spans="2:30" ht="18" customHeight="1">
      <c r="B76" s="78" t="str">
        <f>IF(B75&lt;&gt;"",TEXT(WEEKDAY(B75,1),"(aaa)"),"")</f>
        <v>(木)</v>
      </c>
      <c r="C76" s="271"/>
      <c r="D76" s="271"/>
      <c r="E76" s="271"/>
      <c r="F76" s="271"/>
      <c r="G76" s="90"/>
      <c r="H76" s="91" t="s">
        <v>126</v>
      </c>
      <c r="I76" s="92"/>
      <c r="J76" s="93"/>
      <c r="K76" s="91" t="s">
        <v>126</v>
      </c>
      <c r="L76" s="94"/>
      <c r="M76" s="131" t="str">
        <f t="shared" si="8"/>
        <v/>
      </c>
      <c r="N76" s="95" t="s">
        <v>126</v>
      </c>
      <c r="O76" s="132" t="str">
        <f t="shared" si="9"/>
        <v/>
      </c>
      <c r="P76" s="133" t="str">
        <f t="shared" si="10"/>
        <v/>
      </c>
      <c r="Q76" s="95" t="s">
        <v>126</v>
      </c>
      <c r="R76" s="134" t="str">
        <f t="shared" si="11"/>
        <v/>
      </c>
      <c r="S76" s="128" t="str">
        <f t="shared" si="12"/>
        <v/>
      </c>
      <c r="T76" s="122" t="s">
        <v>126</v>
      </c>
      <c r="U76" s="135" t="str">
        <f t="shared" si="13"/>
        <v/>
      </c>
      <c r="V76" s="128" t="str">
        <f t="shared" si="14"/>
        <v/>
      </c>
      <c r="W76" s="122" t="s">
        <v>126</v>
      </c>
      <c r="X76" s="135" t="str">
        <f t="shared" si="15"/>
        <v/>
      </c>
      <c r="Y76" s="286"/>
      <c r="Z76" s="113"/>
      <c r="AA76" s="119"/>
    </row>
    <row r="77" spans="2:30" ht="18" customHeight="1">
      <c r="B77" s="79"/>
      <c r="C77" s="271"/>
      <c r="D77" s="271"/>
      <c r="E77" s="271"/>
      <c r="F77" s="271"/>
      <c r="G77" s="90"/>
      <c r="H77" s="91" t="s">
        <v>126</v>
      </c>
      <c r="I77" s="92"/>
      <c r="J77" s="93"/>
      <c r="K77" s="91" t="s">
        <v>126</v>
      </c>
      <c r="L77" s="94"/>
      <c r="M77" s="131" t="str">
        <f t="shared" si="8"/>
        <v/>
      </c>
      <c r="N77" s="95" t="s">
        <v>126</v>
      </c>
      <c r="O77" s="132" t="str">
        <f t="shared" si="9"/>
        <v/>
      </c>
      <c r="P77" s="133" t="str">
        <f t="shared" si="10"/>
        <v/>
      </c>
      <c r="Q77" s="95" t="s">
        <v>126</v>
      </c>
      <c r="R77" s="134" t="str">
        <f t="shared" si="11"/>
        <v/>
      </c>
      <c r="S77" s="128" t="str">
        <f t="shared" si="12"/>
        <v/>
      </c>
      <c r="T77" s="122" t="s">
        <v>126</v>
      </c>
      <c r="U77" s="135" t="str">
        <f t="shared" si="13"/>
        <v/>
      </c>
      <c r="V77" s="128" t="str">
        <f t="shared" si="14"/>
        <v/>
      </c>
      <c r="W77" s="122" t="s">
        <v>126</v>
      </c>
      <c r="X77" s="135" t="str">
        <f t="shared" si="15"/>
        <v/>
      </c>
      <c r="Y77" s="286"/>
      <c r="Z77" s="113"/>
      <c r="AA77" s="120"/>
      <c r="AB77" s="12"/>
      <c r="AC77" s="12"/>
      <c r="AD77" s="12"/>
    </row>
    <row r="78" spans="2:30" ht="18" customHeight="1">
      <c r="B78" s="77">
        <f>IF(B75&lt;&gt;"",IF(MONTH(B75)&lt;&gt;MONTH(B75+1),"",B75+1),"")</f>
        <v>41103</v>
      </c>
      <c r="C78" s="270"/>
      <c r="D78" s="270"/>
      <c r="E78" s="270"/>
      <c r="F78" s="270"/>
      <c r="G78" s="84"/>
      <c r="H78" s="85" t="s">
        <v>126</v>
      </c>
      <c r="I78" s="86"/>
      <c r="J78" s="87"/>
      <c r="K78" s="85" t="s">
        <v>126</v>
      </c>
      <c r="L78" s="88"/>
      <c r="M78" s="124" t="str">
        <f t="shared" si="8"/>
        <v/>
      </c>
      <c r="N78" s="89" t="s">
        <v>126</v>
      </c>
      <c r="O78" s="125" t="str">
        <f t="shared" si="9"/>
        <v/>
      </c>
      <c r="P78" s="126" t="str">
        <f t="shared" si="10"/>
        <v/>
      </c>
      <c r="Q78" s="89" t="s">
        <v>126</v>
      </c>
      <c r="R78" s="127" t="str">
        <f t="shared" si="11"/>
        <v/>
      </c>
      <c r="S78" s="130" t="str">
        <f t="shared" si="12"/>
        <v/>
      </c>
      <c r="T78" s="121" t="s">
        <v>126</v>
      </c>
      <c r="U78" s="129" t="str">
        <f t="shared" si="13"/>
        <v/>
      </c>
      <c r="V78" s="130" t="str">
        <f t="shared" si="14"/>
        <v/>
      </c>
      <c r="W78" s="121" t="s">
        <v>126</v>
      </c>
      <c r="X78" s="129" t="str">
        <f t="shared" si="15"/>
        <v/>
      </c>
      <c r="Y78" s="285">
        <f>処理用!P78</f>
        <v>0</v>
      </c>
      <c r="Z78" s="112"/>
      <c r="AA78" s="118"/>
    </row>
    <row r="79" spans="2:30" ht="18" customHeight="1">
      <c r="B79" s="78" t="str">
        <f>IF(B78&lt;&gt;"",TEXT(WEEKDAY(B78,1),"(aaa)"),"")</f>
        <v>(金)</v>
      </c>
      <c r="C79" s="271"/>
      <c r="D79" s="271"/>
      <c r="E79" s="271"/>
      <c r="F79" s="271"/>
      <c r="G79" s="90"/>
      <c r="H79" s="91" t="s">
        <v>126</v>
      </c>
      <c r="I79" s="92"/>
      <c r="J79" s="93"/>
      <c r="K79" s="91" t="s">
        <v>126</v>
      </c>
      <c r="L79" s="94"/>
      <c r="M79" s="131" t="str">
        <f t="shared" si="8"/>
        <v/>
      </c>
      <c r="N79" s="95" t="s">
        <v>126</v>
      </c>
      <c r="O79" s="132" t="str">
        <f t="shared" si="9"/>
        <v/>
      </c>
      <c r="P79" s="133" t="str">
        <f t="shared" si="10"/>
        <v/>
      </c>
      <c r="Q79" s="95" t="s">
        <v>126</v>
      </c>
      <c r="R79" s="134" t="str">
        <f t="shared" si="11"/>
        <v/>
      </c>
      <c r="S79" s="128" t="str">
        <f t="shared" si="12"/>
        <v/>
      </c>
      <c r="T79" s="122" t="s">
        <v>126</v>
      </c>
      <c r="U79" s="135" t="str">
        <f t="shared" si="13"/>
        <v/>
      </c>
      <c r="V79" s="128" t="str">
        <f t="shared" si="14"/>
        <v/>
      </c>
      <c r="W79" s="122" t="s">
        <v>126</v>
      </c>
      <c r="X79" s="135" t="str">
        <f t="shared" si="15"/>
        <v/>
      </c>
      <c r="Y79" s="286"/>
      <c r="Z79" s="113"/>
      <c r="AA79" s="119"/>
    </row>
    <row r="80" spans="2:30" ht="18" customHeight="1">
      <c r="B80" s="79"/>
      <c r="C80" s="271"/>
      <c r="D80" s="271"/>
      <c r="E80" s="271"/>
      <c r="F80" s="271"/>
      <c r="G80" s="90"/>
      <c r="H80" s="91" t="s">
        <v>126</v>
      </c>
      <c r="I80" s="92"/>
      <c r="J80" s="93"/>
      <c r="K80" s="91" t="s">
        <v>126</v>
      </c>
      <c r="L80" s="94"/>
      <c r="M80" s="131" t="str">
        <f t="shared" si="8"/>
        <v/>
      </c>
      <c r="N80" s="95" t="s">
        <v>126</v>
      </c>
      <c r="O80" s="132" t="str">
        <f t="shared" si="9"/>
        <v/>
      </c>
      <c r="P80" s="133" t="str">
        <f t="shared" si="10"/>
        <v/>
      </c>
      <c r="Q80" s="95" t="s">
        <v>126</v>
      </c>
      <c r="R80" s="134" t="str">
        <f t="shared" si="11"/>
        <v/>
      </c>
      <c r="S80" s="128" t="str">
        <f t="shared" si="12"/>
        <v/>
      </c>
      <c r="T80" s="122" t="s">
        <v>126</v>
      </c>
      <c r="U80" s="135" t="str">
        <f t="shared" si="13"/>
        <v/>
      </c>
      <c r="V80" s="128" t="str">
        <f t="shared" si="14"/>
        <v/>
      </c>
      <c r="W80" s="122" t="s">
        <v>126</v>
      </c>
      <c r="X80" s="135" t="str">
        <f t="shared" si="15"/>
        <v/>
      </c>
      <c r="Y80" s="286"/>
      <c r="Z80" s="113"/>
      <c r="AA80" s="120"/>
    </row>
    <row r="81" spans="2:27" ht="18" customHeight="1">
      <c r="B81" s="77">
        <f>IF(B78&lt;&gt;"",IF(MONTH(B78)&lt;&gt;MONTH(B78+1),"",B78+1),"")</f>
        <v>41104</v>
      </c>
      <c r="C81" s="270"/>
      <c r="D81" s="270"/>
      <c r="E81" s="270"/>
      <c r="F81" s="270"/>
      <c r="G81" s="84"/>
      <c r="H81" s="85" t="s">
        <v>126</v>
      </c>
      <c r="I81" s="86"/>
      <c r="J81" s="87"/>
      <c r="K81" s="85" t="s">
        <v>126</v>
      </c>
      <c r="L81" s="88"/>
      <c r="M81" s="124" t="str">
        <f t="shared" si="8"/>
        <v/>
      </c>
      <c r="N81" s="89" t="s">
        <v>126</v>
      </c>
      <c r="O81" s="125" t="str">
        <f t="shared" si="9"/>
        <v/>
      </c>
      <c r="P81" s="126" t="str">
        <f t="shared" si="10"/>
        <v/>
      </c>
      <c r="Q81" s="89" t="s">
        <v>126</v>
      </c>
      <c r="R81" s="127" t="str">
        <f t="shared" si="11"/>
        <v/>
      </c>
      <c r="S81" s="130" t="str">
        <f t="shared" si="12"/>
        <v/>
      </c>
      <c r="T81" s="121" t="s">
        <v>126</v>
      </c>
      <c r="U81" s="129" t="str">
        <f t="shared" si="13"/>
        <v/>
      </c>
      <c r="V81" s="130" t="str">
        <f t="shared" si="14"/>
        <v/>
      </c>
      <c r="W81" s="121" t="s">
        <v>126</v>
      </c>
      <c r="X81" s="129" t="str">
        <f t="shared" si="15"/>
        <v/>
      </c>
      <c r="Y81" s="285">
        <f>処理用!P81</f>
        <v>0</v>
      </c>
      <c r="Z81" s="112"/>
      <c r="AA81" s="118"/>
    </row>
    <row r="82" spans="2:27" ht="18" customHeight="1">
      <c r="B82" s="78" t="str">
        <f>IF(B81&lt;&gt;"",TEXT(WEEKDAY(B81,1),"(aaa)"),"")</f>
        <v>(土)</v>
      </c>
      <c r="C82" s="271"/>
      <c r="D82" s="271"/>
      <c r="E82" s="271"/>
      <c r="F82" s="271"/>
      <c r="G82" s="90"/>
      <c r="H82" s="91" t="s">
        <v>126</v>
      </c>
      <c r="I82" s="92"/>
      <c r="J82" s="93"/>
      <c r="K82" s="91" t="s">
        <v>126</v>
      </c>
      <c r="L82" s="94"/>
      <c r="M82" s="131" t="str">
        <f t="shared" si="8"/>
        <v/>
      </c>
      <c r="N82" s="95" t="s">
        <v>126</v>
      </c>
      <c r="O82" s="132" t="str">
        <f t="shared" si="9"/>
        <v/>
      </c>
      <c r="P82" s="133" t="str">
        <f t="shared" si="10"/>
        <v/>
      </c>
      <c r="Q82" s="95" t="s">
        <v>126</v>
      </c>
      <c r="R82" s="134" t="str">
        <f t="shared" si="11"/>
        <v/>
      </c>
      <c r="S82" s="128" t="str">
        <f t="shared" si="12"/>
        <v/>
      </c>
      <c r="T82" s="122" t="s">
        <v>126</v>
      </c>
      <c r="U82" s="135" t="str">
        <f t="shared" si="13"/>
        <v/>
      </c>
      <c r="V82" s="128" t="str">
        <f t="shared" si="14"/>
        <v/>
      </c>
      <c r="W82" s="122" t="s">
        <v>126</v>
      </c>
      <c r="X82" s="135" t="str">
        <f t="shared" si="15"/>
        <v/>
      </c>
      <c r="Y82" s="286"/>
      <c r="Z82" s="113"/>
      <c r="AA82" s="119"/>
    </row>
    <row r="83" spans="2:27" ht="18" customHeight="1">
      <c r="B83" s="79"/>
      <c r="C83" s="271"/>
      <c r="D83" s="271"/>
      <c r="E83" s="271"/>
      <c r="F83" s="271"/>
      <c r="G83" s="90"/>
      <c r="H83" s="91" t="s">
        <v>126</v>
      </c>
      <c r="I83" s="92"/>
      <c r="J83" s="93"/>
      <c r="K83" s="91" t="s">
        <v>126</v>
      </c>
      <c r="L83" s="94"/>
      <c r="M83" s="131" t="str">
        <f t="shared" si="8"/>
        <v/>
      </c>
      <c r="N83" s="95" t="s">
        <v>126</v>
      </c>
      <c r="O83" s="132" t="str">
        <f t="shared" si="9"/>
        <v/>
      </c>
      <c r="P83" s="133" t="str">
        <f t="shared" si="10"/>
        <v/>
      </c>
      <c r="Q83" s="95" t="s">
        <v>126</v>
      </c>
      <c r="R83" s="134" t="str">
        <f t="shared" si="11"/>
        <v/>
      </c>
      <c r="S83" s="128" t="str">
        <f t="shared" si="12"/>
        <v/>
      </c>
      <c r="T83" s="122" t="s">
        <v>126</v>
      </c>
      <c r="U83" s="135" t="str">
        <f t="shared" si="13"/>
        <v/>
      </c>
      <c r="V83" s="128" t="str">
        <f t="shared" si="14"/>
        <v/>
      </c>
      <c r="W83" s="122" t="s">
        <v>126</v>
      </c>
      <c r="X83" s="135" t="str">
        <f t="shared" si="15"/>
        <v/>
      </c>
      <c r="Y83" s="286"/>
      <c r="Z83" s="113"/>
      <c r="AA83" s="120"/>
    </row>
    <row r="84" spans="2:27" ht="18" customHeight="1">
      <c r="B84" s="77">
        <f>IF(B81&lt;&gt;"",IF(MONTH(B81)&lt;&gt;MONTH(B81+1),"",B81+1),"")</f>
        <v>41105</v>
      </c>
      <c r="C84" s="270"/>
      <c r="D84" s="270"/>
      <c r="E84" s="270"/>
      <c r="F84" s="270"/>
      <c r="G84" s="84"/>
      <c r="H84" s="85" t="s">
        <v>126</v>
      </c>
      <c r="I84" s="86"/>
      <c r="J84" s="87"/>
      <c r="K84" s="85" t="s">
        <v>126</v>
      </c>
      <c r="L84" s="88"/>
      <c r="M84" s="124" t="str">
        <f t="shared" si="8"/>
        <v/>
      </c>
      <c r="N84" s="89" t="s">
        <v>126</v>
      </c>
      <c r="O84" s="125" t="str">
        <f t="shared" si="9"/>
        <v/>
      </c>
      <c r="P84" s="126" t="str">
        <f t="shared" si="10"/>
        <v/>
      </c>
      <c r="Q84" s="89" t="s">
        <v>126</v>
      </c>
      <c r="R84" s="127" t="str">
        <f t="shared" si="11"/>
        <v/>
      </c>
      <c r="S84" s="130" t="str">
        <f t="shared" si="12"/>
        <v/>
      </c>
      <c r="T84" s="121" t="s">
        <v>126</v>
      </c>
      <c r="U84" s="129" t="str">
        <f t="shared" si="13"/>
        <v/>
      </c>
      <c r="V84" s="130" t="str">
        <f t="shared" si="14"/>
        <v/>
      </c>
      <c r="W84" s="121" t="s">
        <v>126</v>
      </c>
      <c r="X84" s="129" t="str">
        <f t="shared" si="15"/>
        <v/>
      </c>
      <c r="Y84" s="285">
        <f>処理用!P84</f>
        <v>0</v>
      </c>
      <c r="Z84" s="112"/>
      <c r="AA84" s="118"/>
    </row>
    <row r="85" spans="2:27" ht="18" customHeight="1">
      <c r="B85" s="78" t="str">
        <f>IF(B84&lt;&gt;"",TEXT(WEEKDAY(B84,1),"(aaa)"),"")</f>
        <v>(日)</v>
      </c>
      <c r="C85" s="271"/>
      <c r="D85" s="271"/>
      <c r="E85" s="271"/>
      <c r="F85" s="271"/>
      <c r="G85" s="90"/>
      <c r="H85" s="91" t="s">
        <v>126</v>
      </c>
      <c r="I85" s="92"/>
      <c r="J85" s="93"/>
      <c r="K85" s="91" t="s">
        <v>126</v>
      </c>
      <c r="L85" s="94"/>
      <c r="M85" s="131" t="str">
        <f t="shared" si="8"/>
        <v/>
      </c>
      <c r="N85" s="95" t="s">
        <v>126</v>
      </c>
      <c r="O85" s="132" t="str">
        <f t="shared" si="9"/>
        <v/>
      </c>
      <c r="P85" s="133" t="str">
        <f t="shared" si="10"/>
        <v/>
      </c>
      <c r="Q85" s="95" t="s">
        <v>126</v>
      </c>
      <c r="R85" s="134" t="str">
        <f t="shared" si="11"/>
        <v/>
      </c>
      <c r="S85" s="128" t="str">
        <f t="shared" si="12"/>
        <v/>
      </c>
      <c r="T85" s="122" t="s">
        <v>126</v>
      </c>
      <c r="U85" s="135" t="str">
        <f t="shared" si="13"/>
        <v/>
      </c>
      <c r="V85" s="128" t="str">
        <f t="shared" si="14"/>
        <v/>
      </c>
      <c r="W85" s="122" t="s">
        <v>126</v>
      </c>
      <c r="X85" s="135" t="str">
        <f t="shared" si="15"/>
        <v/>
      </c>
      <c r="Y85" s="286"/>
      <c r="Z85" s="113"/>
      <c r="AA85" s="119"/>
    </row>
    <row r="86" spans="2:27" ht="18" customHeight="1">
      <c r="B86" s="79"/>
      <c r="C86" s="271"/>
      <c r="D86" s="271"/>
      <c r="E86" s="271"/>
      <c r="F86" s="271"/>
      <c r="G86" s="90"/>
      <c r="H86" s="91" t="s">
        <v>126</v>
      </c>
      <c r="I86" s="92"/>
      <c r="J86" s="93"/>
      <c r="K86" s="91" t="s">
        <v>126</v>
      </c>
      <c r="L86" s="94"/>
      <c r="M86" s="131" t="str">
        <f t="shared" si="8"/>
        <v/>
      </c>
      <c r="N86" s="95" t="s">
        <v>126</v>
      </c>
      <c r="O86" s="132" t="str">
        <f t="shared" si="9"/>
        <v/>
      </c>
      <c r="P86" s="133" t="str">
        <f t="shared" si="10"/>
        <v/>
      </c>
      <c r="Q86" s="95" t="s">
        <v>126</v>
      </c>
      <c r="R86" s="134" t="str">
        <f t="shared" si="11"/>
        <v/>
      </c>
      <c r="S86" s="128" t="str">
        <f t="shared" si="12"/>
        <v/>
      </c>
      <c r="T86" s="122" t="s">
        <v>126</v>
      </c>
      <c r="U86" s="135" t="str">
        <f t="shared" si="13"/>
        <v/>
      </c>
      <c r="V86" s="128" t="str">
        <f t="shared" si="14"/>
        <v/>
      </c>
      <c r="W86" s="122" t="s">
        <v>126</v>
      </c>
      <c r="X86" s="135" t="str">
        <f t="shared" si="15"/>
        <v/>
      </c>
      <c r="Y86" s="286"/>
      <c r="Z86" s="113"/>
      <c r="AA86" s="120"/>
    </row>
    <row r="87" spans="2:27" ht="18" customHeight="1">
      <c r="B87" s="77">
        <f>IF(B84&lt;&gt;"",IF(MONTH(B84)&lt;&gt;MONTH(B84+1),"",B84+1),"")</f>
        <v>41106</v>
      </c>
      <c r="C87" s="270"/>
      <c r="D87" s="270"/>
      <c r="E87" s="270"/>
      <c r="F87" s="270"/>
      <c r="G87" s="84"/>
      <c r="H87" s="85" t="s">
        <v>126</v>
      </c>
      <c r="I87" s="86"/>
      <c r="J87" s="87"/>
      <c r="K87" s="85" t="s">
        <v>126</v>
      </c>
      <c r="L87" s="88"/>
      <c r="M87" s="124" t="str">
        <f t="shared" si="8"/>
        <v/>
      </c>
      <c r="N87" s="89" t="s">
        <v>126</v>
      </c>
      <c r="O87" s="125" t="str">
        <f t="shared" si="9"/>
        <v/>
      </c>
      <c r="P87" s="126" t="str">
        <f t="shared" si="10"/>
        <v/>
      </c>
      <c r="Q87" s="89" t="s">
        <v>126</v>
      </c>
      <c r="R87" s="127" t="str">
        <f t="shared" si="11"/>
        <v/>
      </c>
      <c r="S87" s="130" t="str">
        <f t="shared" si="12"/>
        <v/>
      </c>
      <c r="T87" s="121" t="s">
        <v>126</v>
      </c>
      <c r="U87" s="129" t="str">
        <f t="shared" si="13"/>
        <v/>
      </c>
      <c r="V87" s="130" t="str">
        <f t="shared" si="14"/>
        <v/>
      </c>
      <c r="W87" s="121" t="s">
        <v>126</v>
      </c>
      <c r="X87" s="129" t="str">
        <f t="shared" si="15"/>
        <v/>
      </c>
      <c r="Y87" s="285">
        <f>処理用!P87</f>
        <v>0</v>
      </c>
      <c r="Z87" s="112"/>
      <c r="AA87" s="118"/>
    </row>
    <row r="88" spans="2:27" ht="18" customHeight="1">
      <c r="B88" s="78" t="str">
        <f>IF(B87&lt;&gt;"",TEXT(WEEKDAY(B87,1),"(aaa)"),"")</f>
        <v>(月)</v>
      </c>
      <c r="C88" s="271"/>
      <c r="D88" s="271"/>
      <c r="E88" s="271"/>
      <c r="F88" s="271"/>
      <c r="G88" s="90"/>
      <c r="H88" s="91" t="s">
        <v>126</v>
      </c>
      <c r="I88" s="92"/>
      <c r="J88" s="93"/>
      <c r="K88" s="91" t="s">
        <v>126</v>
      </c>
      <c r="L88" s="94"/>
      <c r="M88" s="131" t="str">
        <f t="shared" si="8"/>
        <v/>
      </c>
      <c r="N88" s="95" t="s">
        <v>126</v>
      </c>
      <c r="O88" s="132" t="str">
        <f t="shared" si="9"/>
        <v/>
      </c>
      <c r="P88" s="133" t="str">
        <f t="shared" si="10"/>
        <v/>
      </c>
      <c r="Q88" s="95" t="s">
        <v>126</v>
      </c>
      <c r="R88" s="134" t="str">
        <f t="shared" si="11"/>
        <v/>
      </c>
      <c r="S88" s="128" t="str">
        <f t="shared" si="12"/>
        <v/>
      </c>
      <c r="T88" s="122" t="s">
        <v>126</v>
      </c>
      <c r="U88" s="135" t="str">
        <f t="shared" si="13"/>
        <v/>
      </c>
      <c r="V88" s="128" t="str">
        <f t="shared" si="14"/>
        <v/>
      </c>
      <c r="W88" s="122" t="s">
        <v>126</v>
      </c>
      <c r="X88" s="135" t="str">
        <f t="shared" si="15"/>
        <v/>
      </c>
      <c r="Y88" s="286"/>
      <c r="Z88" s="113"/>
      <c r="AA88" s="119"/>
    </row>
    <row r="89" spans="2:27" ht="18" customHeight="1">
      <c r="B89" s="79"/>
      <c r="C89" s="271"/>
      <c r="D89" s="271"/>
      <c r="E89" s="271"/>
      <c r="F89" s="271"/>
      <c r="G89" s="90"/>
      <c r="H89" s="91" t="s">
        <v>126</v>
      </c>
      <c r="I89" s="92"/>
      <c r="J89" s="93"/>
      <c r="K89" s="91" t="s">
        <v>126</v>
      </c>
      <c r="L89" s="94"/>
      <c r="M89" s="131" t="str">
        <f t="shared" si="8"/>
        <v/>
      </c>
      <c r="N89" s="95" t="s">
        <v>126</v>
      </c>
      <c r="O89" s="132" t="str">
        <f t="shared" si="9"/>
        <v/>
      </c>
      <c r="P89" s="133" t="str">
        <f t="shared" si="10"/>
        <v/>
      </c>
      <c r="Q89" s="95" t="s">
        <v>126</v>
      </c>
      <c r="R89" s="134" t="str">
        <f t="shared" si="11"/>
        <v/>
      </c>
      <c r="S89" s="128" t="str">
        <f t="shared" si="12"/>
        <v/>
      </c>
      <c r="T89" s="122" t="s">
        <v>126</v>
      </c>
      <c r="U89" s="135" t="str">
        <f t="shared" si="13"/>
        <v/>
      </c>
      <c r="V89" s="128" t="str">
        <f t="shared" si="14"/>
        <v/>
      </c>
      <c r="W89" s="122" t="s">
        <v>126</v>
      </c>
      <c r="X89" s="135" t="str">
        <f t="shared" si="15"/>
        <v/>
      </c>
      <c r="Y89" s="286"/>
      <c r="Z89" s="113"/>
      <c r="AA89" s="120"/>
    </row>
    <row r="90" spans="2:27" ht="18" customHeight="1">
      <c r="B90" s="77">
        <f>IF(B87&lt;&gt;"",IF(MONTH(B87)&lt;&gt;MONTH(B87+1),"",B87+1),"")</f>
        <v>41107</v>
      </c>
      <c r="C90" s="270"/>
      <c r="D90" s="270"/>
      <c r="E90" s="270"/>
      <c r="F90" s="270"/>
      <c r="G90" s="84"/>
      <c r="H90" s="85" t="s">
        <v>126</v>
      </c>
      <c r="I90" s="86"/>
      <c r="J90" s="87"/>
      <c r="K90" s="85" t="s">
        <v>126</v>
      </c>
      <c r="L90" s="88"/>
      <c r="M90" s="124" t="str">
        <f t="shared" si="8"/>
        <v/>
      </c>
      <c r="N90" s="89" t="s">
        <v>126</v>
      </c>
      <c r="O90" s="125" t="str">
        <f t="shared" si="9"/>
        <v/>
      </c>
      <c r="P90" s="126" t="str">
        <f t="shared" si="10"/>
        <v/>
      </c>
      <c r="Q90" s="89" t="s">
        <v>126</v>
      </c>
      <c r="R90" s="127" t="str">
        <f t="shared" si="11"/>
        <v/>
      </c>
      <c r="S90" s="130" t="str">
        <f t="shared" si="12"/>
        <v/>
      </c>
      <c r="T90" s="121" t="s">
        <v>126</v>
      </c>
      <c r="U90" s="129" t="str">
        <f t="shared" si="13"/>
        <v/>
      </c>
      <c r="V90" s="130" t="str">
        <f t="shared" si="14"/>
        <v/>
      </c>
      <c r="W90" s="121" t="s">
        <v>126</v>
      </c>
      <c r="X90" s="129" t="str">
        <f t="shared" si="15"/>
        <v/>
      </c>
      <c r="Y90" s="285">
        <f>処理用!P90</f>
        <v>0</v>
      </c>
      <c r="Z90" s="112"/>
      <c r="AA90" s="118"/>
    </row>
    <row r="91" spans="2:27" ht="18" customHeight="1">
      <c r="B91" s="78" t="str">
        <f>IF(B90&lt;&gt;"",TEXT(WEEKDAY(B90,1),"(aaa)"),"")</f>
        <v>(火)</v>
      </c>
      <c r="C91" s="271"/>
      <c r="D91" s="271"/>
      <c r="E91" s="271"/>
      <c r="F91" s="271"/>
      <c r="G91" s="90"/>
      <c r="H91" s="91" t="s">
        <v>126</v>
      </c>
      <c r="I91" s="92"/>
      <c r="J91" s="93"/>
      <c r="K91" s="91" t="s">
        <v>126</v>
      </c>
      <c r="L91" s="94"/>
      <c r="M91" s="131" t="str">
        <f t="shared" si="8"/>
        <v/>
      </c>
      <c r="N91" s="95" t="s">
        <v>126</v>
      </c>
      <c r="O91" s="132" t="str">
        <f t="shared" si="9"/>
        <v/>
      </c>
      <c r="P91" s="133" t="str">
        <f t="shared" si="10"/>
        <v/>
      </c>
      <c r="Q91" s="95" t="s">
        <v>126</v>
      </c>
      <c r="R91" s="134" t="str">
        <f t="shared" si="11"/>
        <v/>
      </c>
      <c r="S91" s="128" t="str">
        <f t="shared" si="12"/>
        <v/>
      </c>
      <c r="T91" s="122" t="s">
        <v>126</v>
      </c>
      <c r="U91" s="135" t="str">
        <f t="shared" si="13"/>
        <v/>
      </c>
      <c r="V91" s="128" t="str">
        <f t="shared" si="14"/>
        <v/>
      </c>
      <c r="W91" s="122" t="s">
        <v>126</v>
      </c>
      <c r="X91" s="135" t="str">
        <f t="shared" si="15"/>
        <v/>
      </c>
      <c r="Y91" s="286"/>
      <c r="Z91" s="113"/>
      <c r="AA91" s="119"/>
    </row>
    <row r="92" spans="2:27" ht="18" customHeight="1">
      <c r="B92" s="79"/>
      <c r="C92" s="271"/>
      <c r="D92" s="271"/>
      <c r="E92" s="271"/>
      <c r="F92" s="271"/>
      <c r="G92" s="90"/>
      <c r="H92" s="91" t="s">
        <v>126</v>
      </c>
      <c r="I92" s="92"/>
      <c r="J92" s="93"/>
      <c r="K92" s="91" t="s">
        <v>126</v>
      </c>
      <c r="L92" s="94"/>
      <c r="M92" s="131" t="str">
        <f t="shared" si="8"/>
        <v/>
      </c>
      <c r="N92" s="95" t="s">
        <v>126</v>
      </c>
      <c r="O92" s="132" t="str">
        <f t="shared" si="9"/>
        <v/>
      </c>
      <c r="P92" s="133" t="str">
        <f t="shared" si="10"/>
        <v/>
      </c>
      <c r="Q92" s="95" t="s">
        <v>126</v>
      </c>
      <c r="R92" s="134" t="str">
        <f t="shared" si="11"/>
        <v/>
      </c>
      <c r="S92" s="128" t="str">
        <f t="shared" si="12"/>
        <v/>
      </c>
      <c r="T92" s="122" t="s">
        <v>126</v>
      </c>
      <c r="U92" s="135" t="str">
        <f t="shared" si="13"/>
        <v/>
      </c>
      <c r="V92" s="128" t="str">
        <f t="shared" si="14"/>
        <v/>
      </c>
      <c r="W92" s="122" t="s">
        <v>126</v>
      </c>
      <c r="X92" s="135" t="str">
        <f t="shared" si="15"/>
        <v/>
      </c>
      <c r="Y92" s="286"/>
      <c r="Z92" s="113"/>
      <c r="AA92" s="120"/>
    </row>
    <row r="93" spans="2:27" ht="18" customHeight="1">
      <c r="B93" s="77">
        <f>IF(B90&lt;&gt;"",IF(MONTH(B90)&lt;&gt;MONTH(B90+1),"",B90+1),"")</f>
        <v>41108</v>
      </c>
      <c r="C93" s="270"/>
      <c r="D93" s="270"/>
      <c r="E93" s="270"/>
      <c r="F93" s="270"/>
      <c r="G93" s="84"/>
      <c r="H93" s="85" t="s">
        <v>126</v>
      </c>
      <c r="I93" s="86"/>
      <c r="J93" s="87"/>
      <c r="K93" s="85" t="s">
        <v>126</v>
      </c>
      <c r="L93" s="88"/>
      <c r="M93" s="124" t="str">
        <f t="shared" si="8"/>
        <v/>
      </c>
      <c r="N93" s="89" t="s">
        <v>126</v>
      </c>
      <c r="O93" s="125" t="str">
        <f t="shared" si="9"/>
        <v/>
      </c>
      <c r="P93" s="126" t="str">
        <f t="shared" si="10"/>
        <v/>
      </c>
      <c r="Q93" s="89" t="s">
        <v>126</v>
      </c>
      <c r="R93" s="127" t="str">
        <f t="shared" si="11"/>
        <v/>
      </c>
      <c r="S93" s="130" t="str">
        <f t="shared" si="12"/>
        <v/>
      </c>
      <c r="T93" s="121" t="s">
        <v>126</v>
      </c>
      <c r="U93" s="129" t="str">
        <f t="shared" si="13"/>
        <v/>
      </c>
      <c r="V93" s="130" t="str">
        <f t="shared" si="14"/>
        <v/>
      </c>
      <c r="W93" s="121" t="s">
        <v>126</v>
      </c>
      <c r="X93" s="129" t="str">
        <f t="shared" si="15"/>
        <v/>
      </c>
      <c r="Y93" s="285">
        <f>処理用!P93</f>
        <v>0</v>
      </c>
      <c r="Z93" s="112"/>
      <c r="AA93" s="118"/>
    </row>
    <row r="94" spans="2:27" ht="18" customHeight="1">
      <c r="B94" s="78" t="str">
        <f>IF(B93&lt;&gt;"",TEXT(WEEKDAY(B93,1),"(aaa)"),"")</f>
        <v>(水)</v>
      </c>
      <c r="C94" s="271"/>
      <c r="D94" s="271"/>
      <c r="E94" s="271"/>
      <c r="F94" s="271"/>
      <c r="G94" s="90"/>
      <c r="H94" s="91" t="s">
        <v>126</v>
      </c>
      <c r="I94" s="92"/>
      <c r="J94" s="93"/>
      <c r="K94" s="91" t="s">
        <v>126</v>
      </c>
      <c r="L94" s="94"/>
      <c r="M94" s="131" t="str">
        <f t="shared" si="8"/>
        <v/>
      </c>
      <c r="N94" s="95" t="s">
        <v>126</v>
      </c>
      <c r="O94" s="132" t="str">
        <f t="shared" si="9"/>
        <v/>
      </c>
      <c r="P94" s="133" t="str">
        <f t="shared" si="10"/>
        <v/>
      </c>
      <c r="Q94" s="95" t="s">
        <v>126</v>
      </c>
      <c r="R94" s="134" t="str">
        <f t="shared" si="11"/>
        <v/>
      </c>
      <c r="S94" s="128" t="str">
        <f t="shared" si="12"/>
        <v/>
      </c>
      <c r="T94" s="122" t="s">
        <v>126</v>
      </c>
      <c r="U94" s="135" t="str">
        <f t="shared" si="13"/>
        <v/>
      </c>
      <c r="V94" s="128" t="str">
        <f t="shared" si="14"/>
        <v/>
      </c>
      <c r="W94" s="122" t="s">
        <v>126</v>
      </c>
      <c r="X94" s="135" t="str">
        <f t="shared" si="15"/>
        <v/>
      </c>
      <c r="Y94" s="286"/>
      <c r="Z94" s="113"/>
      <c r="AA94" s="119"/>
    </row>
    <row r="95" spans="2:27" ht="18" customHeight="1">
      <c r="B95" s="79"/>
      <c r="C95" s="271"/>
      <c r="D95" s="271"/>
      <c r="E95" s="271"/>
      <c r="F95" s="271"/>
      <c r="G95" s="90"/>
      <c r="H95" s="91" t="s">
        <v>126</v>
      </c>
      <c r="I95" s="92"/>
      <c r="J95" s="93"/>
      <c r="K95" s="91" t="s">
        <v>126</v>
      </c>
      <c r="L95" s="94"/>
      <c r="M95" s="131" t="str">
        <f t="shared" si="8"/>
        <v/>
      </c>
      <c r="N95" s="95" t="s">
        <v>126</v>
      </c>
      <c r="O95" s="132" t="str">
        <f t="shared" si="9"/>
        <v/>
      </c>
      <c r="P95" s="133" t="str">
        <f t="shared" si="10"/>
        <v/>
      </c>
      <c r="Q95" s="95" t="s">
        <v>126</v>
      </c>
      <c r="R95" s="134" t="str">
        <f t="shared" si="11"/>
        <v/>
      </c>
      <c r="S95" s="128" t="str">
        <f t="shared" si="12"/>
        <v/>
      </c>
      <c r="T95" s="122" t="s">
        <v>126</v>
      </c>
      <c r="U95" s="135" t="str">
        <f t="shared" si="13"/>
        <v/>
      </c>
      <c r="V95" s="128" t="str">
        <f t="shared" si="14"/>
        <v/>
      </c>
      <c r="W95" s="122" t="s">
        <v>126</v>
      </c>
      <c r="X95" s="135" t="str">
        <f t="shared" si="15"/>
        <v/>
      </c>
      <c r="Y95" s="286"/>
      <c r="Z95" s="113"/>
      <c r="AA95" s="120"/>
    </row>
    <row r="96" spans="2:27" ht="18" customHeight="1">
      <c r="B96" s="77">
        <f>IF(B93&lt;&gt;"",IF(MONTH(B93)&lt;&gt;MONTH(B93+1),"",B93+1),"")</f>
        <v>41109</v>
      </c>
      <c r="C96" s="270"/>
      <c r="D96" s="270"/>
      <c r="E96" s="270"/>
      <c r="F96" s="270"/>
      <c r="G96" s="84"/>
      <c r="H96" s="85" t="s">
        <v>126</v>
      </c>
      <c r="I96" s="86"/>
      <c r="J96" s="87"/>
      <c r="K96" s="85" t="s">
        <v>126</v>
      </c>
      <c r="L96" s="88"/>
      <c r="M96" s="124" t="str">
        <f t="shared" si="8"/>
        <v/>
      </c>
      <c r="N96" s="89" t="s">
        <v>126</v>
      </c>
      <c r="O96" s="125" t="str">
        <f t="shared" si="9"/>
        <v/>
      </c>
      <c r="P96" s="126" t="str">
        <f t="shared" si="10"/>
        <v/>
      </c>
      <c r="Q96" s="89" t="s">
        <v>126</v>
      </c>
      <c r="R96" s="127" t="str">
        <f t="shared" si="11"/>
        <v/>
      </c>
      <c r="S96" s="130" t="str">
        <f t="shared" si="12"/>
        <v/>
      </c>
      <c r="T96" s="121" t="s">
        <v>126</v>
      </c>
      <c r="U96" s="129" t="str">
        <f t="shared" si="13"/>
        <v/>
      </c>
      <c r="V96" s="130" t="str">
        <f t="shared" si="14"/>
        <v/>
      </c>
      <c r="W96" s="121" t="s">
        <v>126</v>
      </c>
      <c r="X96" s="129" t="str">
        <f t="shared" si="15"/>
        <v/>
      </c>
      <c r="Y96" s="285">
        <f>処理用!P96</f>
        <v>0</v>
      </c>
      <c r="Z96" s="112"/>
      <c r="AA96" s="118"/>
    </row>
    <row r="97" spans="2:27" ht="18" customHeight="1">
      <c r="B97" s="78" t="str">
        <f>IF(B96&lt;&gt;"",TEXT(WEEKDAY(B96,1),"(aaa)"),"")</f>
        <v>(木)</v>
      </c>
      <c r="C97" s="271"/>
      <c r="D97" s="271"/>
      <c r="E97" s="271"/>
      <c r="F97" s="271"/>
      <c r="G97" s="90"/>
      <c r="H97" s="91" t="s">
        <v>126</v>
      </c>
      <c r="I97" s="92"/>
      <c r="J97" s="93"/>
      <c r="K97" s="91" t="s">
        <v>126</v>
      </c>
      <c r="L97" s="94"/>
      <c r="M97" s="131" t="str">
        <f t="shared" si="8"/>
        <v/>
      </c>
      <c r="N97" s="95" t="s">
        <v>126</v>
      </c>
      <c r="O97" s="132" t="str">
        <f t="shared" si="9"/>
        <v/>
      </c>
      <c r="P97" s="133" t="str">
        <f t="shared" si="10"/>
        <v/>
      </c>
      <c r="Q97" s="95" t="s">
        <v>126</v>
      </c>
      <c r="R97" s="134" t="str">
        <f t="shared" si="11"/>
        <v/>
      </c>
      <c r="S97" s="128" t="str">
        <f t="shared" si="12"/>
        <v/>
      </c>
      <c r="T97" s="122" t="s">
        <v>126</v>
      </c>
      <c r="U97" s="135" t="str">
        <f t="shared" si="13"/>
        <v/>
      </c>
      <c r="V97" s="128" t="str">
        <f t="shared" si="14"/>
        <v/>
      </c>
      <c r="W97" s="122" t="s">
        <v>126</v>
      </c>
      <c r="X97" s="135" t="str">
        <f t="shared" si="15"/>
        <v/>
      </c>
      <c r="Y97" s="286"/>
      <c r="Z97" s="113"/>
      <c r="AA97" s="119"/>
    </row>
    <row r="98" spans="2:27" ht="18" customHeight="1">
      <c r="B98" s="79"/>
      <c r="C98" s="271"/>
      <c r="D98" s="271"/>
      <c r="E98" s="271"/>
      <c r="F98" s="271"/>
      <c r="G98" s="90"/>
      <c r="H98" s="91" t="s">
        <v>126</v>
      </c>
      <c r="I98" s="92"/>
      <c r="J98" s="93"/>
      <c r="K98" s="91" t="s">
        <v>126</v>
      </c>
      <c r="L98" s="94"/>
      <c r="M98" s="131" t="str">
        <f t="shared" si="8"/>
        <v/>
      </c>
      <c r="N98" s="95" t="s">
        <v>126</v>
      </c>
      <c r="O98" s="132" t="str">
        <f t="shared" si="9"/>
        <v/>
      </c>
      <c r="P98" s="133" t="str">
        <f t="shared" si="10"/>
        <v/>
      </c>
      <c r="Q98" s="95" t="s">
        <v>126</v>
      </c>
      <c r="R98" s="134" t="str">
        <f t="shared" si="11"/>
        <v/>
      </c>
      <c r="S98" s="128" t="str">
        <f t="shared" si="12"/>
        <v/>
      </c>
      <c r="T98" s="122" t="s">
        <v>126</v>
      </c>
      <c r="U98" s="135" t="str">
        <f t="shared" si="13"/>
        <v/>
      </c>
      <c r="V98" s="128" t="str">
        <f t="shared" si="14"/>
        <v/>
      </c>
      <c r="W98" s="122" t="s">
        <v>126</v>
      </c>
      <c r="X98" s="135" t="str">
        <f t="shared" si="15"/>
        <v/>
      </c>
      <c r="Y98" s="286"/>
      <c r="Z98" s="113"/>
      <c r="AA98" s="120"/>
    </row>
    <row r="99" spans="2:27" ht="18" customHeight="1">
      <c r="B99" s="77">
        <f>IF(B96&lt;&gt;"",IF(MONTH(B96)&lt;&gt;MONTH(B96+1),"",B96+1),"")</f>
        <v>41110</v>
      </c>
      <c r="C99" s="270"/>
      <c r="D99" s="270"/>
      <c r="E99" s="270"/>
      <c r="F99" s="270"/>
      <c r="G99" s="84"/>
      <c r="H99" s="85" t="s">
        <v>126</v>
      </c>
      <c r="I99" s="86"/>
      <c r="J99" s="87"/>
      <c r="K99" s="85" t="s">
        <v>126</v>
      </c>
      <c r="L99" s="88"/>
      <c r="M99" s="124" t="str">
        <f t="shared" si="8"/>
        <v/>
      </c>
      <c r="N99" s="89" t="s">
        <v>126</v>
      </c>
      <c r="O99" s="125" t="str">
        <f t="shared" si="9"/>
        <v/>
      </c>
      <c r="P99" s="126" t="str">
        <f t="shared" si="10"/>
        <v/>
      </c>
      <c r="Q99" s="89" t="s">
        <v>126</v>
      </c>
      <c r="R99" s="127" t="str">
        <f t="shared" si="11"/>
        <v/>
      </c>
      <c r="S99" s="130" t="str">
        <f t="shared" si="12"/>
        <v/>
      </c>
      <c r="T99" s="121" t="s">
        <v>126</v>
      </c>
      <c r="U99" s="129" t="str">
        <f t="shared" si="13"/>
        <v/>
      </c>
      <c r="V99" s="130" t="str">
        <f t="shared" si="14"/>
        <v/>
      </c>
      <c r="W99" s="121" t="s">
        <v>126</v>
      </c>
      <c r="X99" s="129" t="str">
        <f t="shared" si="15"/>
        <v/>
      </c>
      <c r="Y99" s="285">
        <f>処理用!P99</f>
        <v>0</v>
      </c>
      <c r="Z99" s="112"/>
      <c r="AA99" s="118"/>
    </row>
    <row r="100" spans="2:27" ht="18" customHeight="1">
      <c r="B100" s="78" t="str">
        <f>IF(B99&lt;&gt;"",TEXT(WEEKDAY(B99,1),"(aaa)"),"")</f>
        <v>(金)</v>
      </c>
      <c r="C100" s="271"/>
      <c r="D100" s="271"/>
      <c r="E100" s="271"/>
      <c r="F100" s="271"/>
      <c r="G100" s="90"/>
      <c r="H100" s="91" t="s">
        <v>126</v>
      </c>
      <c r="I100" s="92"/>
      <c r="J100" s="93"/>
      <c r="K100" s="91" t="s">
        <v>126</v>
      </c>
      <c r="L100" s="94"/>
      <c r="M100" s="131" t="str">
        <f t="shared" si="8"/>
        <v/>
      </c>
      <c r="N100" s="95" t="s">
        <v>126</v>
      </c>
      <c r="O100" s="132" t="str">
        <f t="shared" si="9"/>
        <v/>
      </c>
      <c r="P100" s="133" t="str">
        <f t="shared" si="10"/>
        <v/>
      </c>
      <c r="Q100" s="95" t="s">
        <v>126</v>
      </c>
      <c r="R100" s="134" t="str">
        <f t="shared" si="11"/>
        <v/>
      </c>
      <c r="S100" s="128" t="str">
        <f t="shared" si="12"/>
        <v/>
      </c>
      <c r="T100" s="122" t="s">
        <v>126</v>
      </c>
      <c r="U100" s="135" t="str">
        <f t="shared" si="13"/>
        <v/>
      </c>
      <c r="V100" s="128" t="str">
        <f t="shared" si="14"/>
        <v/>
      </c>
      <c r="W100" s="122" t="s">
        <v>126</v>
      </c>
      <c r="X100" s="135" t="str">
        <f t="shared" si="15"/>
        <v/>
      </c>
      <c r="Y100" s="286"/>
      <c r="Z100" s="113"/>
      <c r="AA100" s="119"/>
    </row>
    <row r="101" spans="2:27" ht="18" customHeight="1">
      <c r="B101" s="111"/>
      <c r="C101" s="272"/>
      <c r="D101" s="272"/>
      <c r="E101" s="272"/>
      <c r="F101" s="272"/>
      <c r="G101" s="96"/>
      <c r="H101" s="97" t="s">
        <v>126</v>
      </c>
      <c r="I101" s="98"/>
      <c r="J101" s="99"/>
      <c r="K101" s="97" t="s">
        <v>126</v>
      </c>
      <c r="L101" s="100"/>
      <c r="M101" s="136" t="str">
        <f t="shared" si="8"/>
        <v/>
      </c>
      <c r="N101" s="101" t="s">
        <v>126</v>
      </c>
      <c r="O101" s="137" t="str">
        <f t="shared" si="9"/>
        <v/>
      </c>
      <c r="P101" s="138" t="str">
        <f t="shared" si="10"/>
        <v/>
      </c>
      <c r="Q101" s="101" t="s">
        <v>126</v>
      </c>
      <c r="R101" s="139" t="str">
        <f t="shared" si="11"/>
        <v/>
      </c>
      <c r="S101" s="140" t="str">
        <f t="shared" si="12"/>
        <v/>
      </c>
      <c r="T101" s="123" t="s">
        <v>126</v>
      </c>
      <c r="U101" s="141" t="str">
        <f t="shared" si="13"/>
        <v/>
      </c>
      <c r="V101" s="140" t="str">
        <f t="shared" si="14"/>
        <v/>
      </c>
      <c r="W101" s="123" t="s">
        <v>126</v>
      </c>
      <c r="X101" s="141" t="str">
        <f t="shared" si="15"/>
        <v/>
      </c>
      <c r="Y101" s="287"/>
      <c r="Z101" s="114"/>
      <c r="AA101" s="120"/>
    </row>
  </sheetData>
  <sheetProtection formatColumns="0"/>
  <customSheetViews>
    <customSheetView guid="{3C5E1D3F-5FA3-4647-8E92-8A4101241118}" hiddenRows="1" hiddenColumns="1" showRuler="0">
      <selection activeCell="O1" sqref="O1:O65536"/>
      <pageMargins left="0.39370078740157483" right="0.39370078740157483" top="0.19685039370078741" bottom="0.19685039370078741" header="0" footer="0"/>
      <printOptions horizontalCentered="1" verticalCentered="1"/>
      <pageSetup paperSize="9" scale="65" orientation="portrait" horizontalDpi="360" verticalDpi="360" r:id="rId1"/>
      <headerFooter alignWithMargins="0"/>
    </customSheetView>
  </customSheetViews>
  <mergeCells count="173">
    <mergeCell ref="Z7:AA7"/>
    <mergeCell ref="C96:C98"/>
    <mergeCell ref="D96:D98"/>
    <mergeCell ref="C99:C101"/>
    <mergeCell ref="D99:D101"/>
    <mergeCell ref="C93:C95"/>
    <mergeCell ref="D93:D95"/>
    <mergeCell ref="C84:C86"/>
    <mergeCell ref="D84:D86"/>
    <mergeCell ref="C87:C89"/>
    <mergeCell ref="D87:D89"/>
    <mergeCell ref="C75:C77"/>
    <mergeCell ref="D75:D77"/>
    <mergeCell ref="C90:C92"/>
    <mergeCell ref="D90:D92"/>
    <mergeCell ref="C81:C83"/>
    <mergeCell ref="D81:D83"/>
    <mergeCell ref="C78:C80"/>
    <mergeCell ref="D78:D80"/>
    <mergeCell ref="C24:C26"/>
    <mergeCell ref="D24:D26"/>
    <mergeCell ref="C30:C32"/>
    <mergeCell ref="D30:D32"/>
    <mergeCell ref="C33:C35"/>
    <mergeCell ref="D33:D35"/>
    <mergeCell ref="C36:C38"/>
    <mergeCell ref="D36:D38"/>
    <mergeCell ref="C51:C53"/>
    <mergeCell ref="D51:D53"/>
    <mergeCell ref="C45:C47"/>
    <mergeCell ref="D45:D47"/>
    <mergeCell ref="C42:C44"/>
    <mergeCell ref="D42:D44"/>
    <mergeCell ref="C48:C50"/>
    <mergeCell ref="D48:D50"/>
    <mergeCell ref="C9:C11"/>
    <mergeCell ref="D9:D11"/>
    <mergeCell ref="D15:D17"/>
    <mergeCell ref="C12:C14"/>
    <mergeCell ref="D12:D14"/>
    <mergeCell ref="Y57:Y59"/>
    <mergeCell ref="Y63:Y65"/>
    <mergeCell ref="Y72:Y74"/>
    <mergeCell ref="Y75:Y77"/>
    <mergeCell ref="Y69:Y71"/>
    <mergeCell ref="Y66:Y68"/>
    <mergeCell ref="Y33:Y35"/>
    <mergeCell ref="Y36:Y38"/>
    <mergeCell ref="Y39:Y41"/>
    <mergeCell ref="Y42:Y44"/>
    <mergeCell ref="Y48:Y50"/>
    <mergeCell ref="Y60:Y62"/>
    <mergeCell ref="C39:C41"/>
    <mergeCell ref="D39:D41"/>
    <mergeCell ref="C15:C17"/>
    <mergeCell ref="C18:C20"/>
    <mergeCell ref="D18:D20"/>
    <mergeCell ref="C21:C23"/>
    <mergeCell ref="D21:D23"/>
    <mergeCell ref="Y99:Y101"/>
    <mergeCell ref="Y81:Y83"/>
    <mergeCell ref="Y84:Y86"/>
    <mergeCell ref="Y87:Y89"/>
    <mergeCell ref="Y90:Y92"/>
    <mergeCell ref="Y93:Y95"/>
    <mergeCell ref="Y96:Y98"/>
    <mergeCell ref="Y78:Y80"/>
    <mergeCell ref="C27:C29"/>
    <mergeCell ref="D27:D29"/>
    <mergeCell ref="C54:C56"/>
    <mergeCell ref="D54:D56"/>
    <mergeCell ref="C69:C71"/>
    <mergeCell ref="D69:D71"/>
    <mergeCell ref="C72:C74"/>
    <mergeCell ref="D72:D74"/>
    <mergeCell ref="C63:C65"/>
    <mergeCell ref="D63:D65"/>
    <mergeCell ref="C57:C59"/>
    <mergeCell ref="D57:D59"/>
    <mergeCell ref="C60:C62"/>
    <mergeCell ref="D60:D62"/>
    <mergeCell ref="C66:C68"/>
    <mergeCell ref="D66:D68"/>
    <mergeCell ref="Y51:Y53"/>
    <mergeCell ref="Y54:Y56"/>
    <mergeCell ref="V7:X7"/>
    <mergeCell ref="Y9:Y11"/>
    <mergeCell ref="Y27:Y29"/>
    <mergeCell ref="Y45:Y47"/>
    <mergeCell ref="Y30:Y32"/>
    <mergeCell ref="Y12:Y14"/>
    <mergeCell ref="Y15:Y17"/>
    <mergeCell ref="Y18:Y20"/>
    <mergeCell ref="Y24:Y26"/>
    <mergeCell ref="Y21:Y23"/>
    <mergeCell ref="P4:R4"/>
    <mergeCell ref="M4:O4"/>
    <mergeCell ref="G3:I3"/>
    <mergeCell ref="J3:L3"/>
    <mergeCell ref="J4:L4"/>
    <mergeCell ref="G4:I4"/>
    <mergeCell ref="S7:U7"/>
    <mergeCell ref="S3:U4"/>
    <mergeCell ref="E15:E17"/>
    <mergeCell ref="F15:F17"/>
    <mergeCell ref="E18:E20"/>
    <mergeCell ref="F18:F20"/>
    <mergeCell ref="E12:E14"/>
    <mergeCell ref="F12:F14"/>
    <mergeCell ref="J7:L7"/>
    <mergeCell ref="P7:R7"/>
    <mergeCell ref="M7:O7"/>
    <mergeCell ref="G7:I7"/>
    <mergeCell ref="E9:E11"/>
    <mergeCell ref="F9:F11"/>
    <mergeCell ref="E33:E35"/>
    <mergeCell ref="F33:F35"/>
    <mergeCell ref="E36:E38"/>
    <mergeCell ref="F36:F38"/>
    <mergeCell ref="E27:E29"/>
    <mergeCell ref="F27:F29"/>
    <mergeCell ref="E30:E32"/>
    <mergeCell ref="F30:F32"/>
    <mergeCell ref="E21:E23"/>
    <mergeCell ref="F21:F23"/>
    <mergeCell ref="E24:E26"/>
    <mergeCell ref="F24:F26"/>
    <mergeCell ref="E51:E53"/>
    <mergeCell ref="F51:F53"/>
    <mergeCell ref="E54:E56"/>
    <mergeCell ref="F54:F56"/>
    <mergeCell ref="E45:E47"/>
    <mergeCell ref="F45:F47"/>
    <mergeCell ref="E48:E50"/>
    <mergeCell ref="F48:F50"/>
    <mergeCell ref="E39:E41"/>
    <mergeCell ref="F39:F41"/>
    <mergeCell ref="E42:E44"/>
    <mergeCell ref="F42:F44"/>
    <mergeCell ref="E60:E62"/>
    <mergeCell ref="F60:F62"/>
    <mergeCell ref="E63:E65"/>
    <mergeCell ref="F63:F65"/>
    <mergeCell ref="E66:E68"/>
    <mergeCell ref="F66:F68"/>
    <mergeCell ref="E57:E59"/>
    <mergeCell ref="F57:F59"/>
    <mergeCell ref="E75:E77"/>
    <mergeCell ref="F75:F77"/>
    <mergeCell ref="V3:X4"/>
    <mergeCell ref="Y3:Y4"/>
    <mergeCell ref="Z3:Z4"/>
    <mergeCell ref="M1:U1"/>
    <mergeCell ref="E99:E101"/>
    <mergeCell ref="F99:F101"/>
    <mergeCell ref="E87:E89"/>
    <mergeCell ref="F87:F89"/>
    <mergeCell ref="E90:E92"/>
    <mergeCell ref="F78:F80"/>
    <mergeCell ref="E81:E83"/>
    <mergeCell ref="F81:F83"/>
    <mergeCell ref="E84:E86"/>
    <mergeCell ref="F84:F86"/>
    <mergeCell ref="E96:E98"/>
    <mergeCell ref="F96:F98"/>
    <mergeCell ref="E69:E71"/>
    <mergeCell ref="F69:F71"/>
    <mergeCell ref="E72:E74"/>
    <mergeCell ref="F72:F74"/>
    <mergeCell ref="F90:F92"/>
    <mergeCell ref="E93:E95"/>
    <mergeCell ref="F93:F95"/>
    <mergeCell ref="E78:E80"/>
  </mergeCells>
  <phoneticPr fontId="2"/>
  <conditionalFormatting sqref="B43:B101 B16:B41 B13:B14 B10:B11">
    <cfRule type="cellIs" dxfId="8" priority="1" stopIfTrue="1" operator="equal">
      <formula>"(土)"</formula>
    </cfRule>
    <cfRule type="cellIs" dxfId="7" priority="2" stopIfTrue="1" operator="equal">
      <formula>"(日)"</formula>
    </cfRule>
  </conditionalFormatting>
  <dataValidations count="4">
    <dataValidation type="time" imeMode="off" operator="notBetween" allowBlank="1" showInputMessage="1" showErrorMessage="1" error="時刻は　例：18:00　と入力_x000a__x000a_０時をすぎた場合、_x000a_例：午前０時４５分の場合＝２４：４５　と入力。_x000a_表示は　0:45　と表示されます。" sqref="B102:Y65536 G8:Z8" xr:uid="{00000000-0002-0000-0100-000000000000}">
      <formula1>0.000694444444444444</formula1>
      <formula2>0.208333333333333</formula2>
    </dataValidation>
    <dataValidation type="time" allowBlank="1" showInputMessage="1" showErrorMessage="1" error="時刻には 0:00 ～ 24:00 の値を入力してください。" sqref="C90:F90 C84:F84 C78:F78 C72:F72 C66:F66 C60:F60 C54:F54 C48:F48 C42:F42 C36:F36 C30:F30 C24:F24 C18:F18 C12:F12 U9:V101 C9:F9 S9:S101 X9:X101 C15:F15 C21:F21 C27:F27 C33:F33 C39:F39 C45:F45 C51:F51 C57:F57 C63:F63 C69:F69 C75:F75 C81:F81 C87:F87 C93:F101" xr:uid="{00000000-0002-0000-0100-000001000000}">
      <formula1>$AC$3</formula1>
      <formula2>$AC$4</formula2>
    </dataValidation>
    <dataValidation type="time" allowBlank="1" showInputMessage="1" showErrorMessage="1" sqref="R9:R101 O9:P101 L9:M101 G9:G101 I9:J101" xr:uid="{00000000-0002-0000-0100-000002000000}">
      <formula1>$AC$3</formula1>
      <formula2>$AC$4</formula2>
    </dataValidation>
    <dataValidation type="list" allowBlank="1" showInputMessage="1" showErrorMessage="1" sqref="Z9:Z101" xr:uid="{00000000-0002-0000-0100-000003000000}">
      <formula1>"①分娩,②手術,③検査,④重症患者,⑤救急患者,⑥外来診療,⑦入院診療"</formula1>
    </dataValidation>
  </dataValidations>
  <printOptions horizontalCentered="1" verticalCentered="1"/>
  <pageMargins left="0.39370078740157483" right="0.39370078740157483" top="0.19685039370078741" bottom="0.19685039370078741" header="0" footer="0"/>
  <pageSetup paperSize="9" scale="38" orientation="portrait" r:id="rId2"/>
  <headerFooter alignWithMargins="0"/>
  <rowBreaks count="1" manualBreakCount="1">
    <brk id="56" min="1" max="26" man="1"/>
  </rowBreaks>
  <drawing r:id="rId3"/>
  <legacyDrawing r:id="rId4"/>
  <mc:AlternateContent xmlns:mc="http://schemas.openxmlformats.org/markup-compatibility/2006">
    <mc:Choice Requires="x14">
      <controls>
        <mc:AlternateContent xmlns:mc="http://schemas.openxmlformats.org/markup-compatibility/2006">
          <mc:Choice Requires="x14">
            <control shapeId="1066" r:id="rId5" name="Button 42">
              <controlPr defaultSize="0" print="0" autoFill="0" autoPict="0" macro="[0]!補助簿印刷">
                <anchor moveWithCells="1">
                  <from>
                    <xdr:col>1</xdr:col>
                    <xdr:colOff>50800</xdr:colOff>
                    <xdr:row>1</xdr:row>
                    <xdr:rowOff>0</xdr:rowOff>
                  </from>
                  <to>
                    <xdr:col>1</xdr:col>
                    <xdr:colOff>1295400</xdr:colOff>
                    <xdr:row>3</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error="リストから選択してください。" xr:uid="{00000000-0002-0000-0100-000004000000}">
          <x14:formula1>
            <xm:f>勤務形態オプション!B13:B18</xm:f>
          </x14:formula1>
          <xm:sqref>B101 B95 B89 B83 B77 B71 B65 B59 B53 B47 B41 B35 B29 B23 B17 B11 B14 B20 B26 B32 B38 B44 B50 B56 B62 B68 B74 B80 B86 B92 B98</xm:sqref>
        </x14:dataValidation>
        <x14:dataValidation type="list" allowBlank="1" showInputMessage="1" showErrorMessage="1" error="リストから選択してください。" xr:uid="{00000000-0002-0000-0100-000005000000}">
          <x14:formula1>
            <xm:f>雇用形態オプション!P5:P7</xm:f>
          </x14:formula1>
          <xm:sqref>P4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Z118"/>
  <sheetViews>
    <sheetView tabSelected="1" view="pageBreakPreview" zoomScale="70" zoomScaleNormal="60" zoomScaleSheetLayoutView="70" workbookViewId="0">
      <pane xSplit="3" ySplit="9" topLeftCell="D28" activePane="bottomRight" state="frozen"/>
      <selection pane="topRight" activeCell="D1" sqref="D1"/>
      <selection pane="bottomLeft" activeCell="A10" sqref="A10"/>
      <selection pane="bottomRight" activeCell="H74" sqref="H74"/>
    </sheetView>
  </sheetViews>
  <sheetFormatPr baseColWidth="10" defaultColWidth="9" defaultRowHeight="14"/>
  <cols>
    <col min="1" max="2" width="9.33203125" style="61" customWidth="1"/>
    <col min="3" max="3" width="7.83203125" customWidth="1"/>
    <col min="4" max="4" width="11.6640625" style="62" customWidth="1"/>
    <col min="5" max="5" width="3.33203125" style="61" customWidth="1"/>
    <col min="6" max="6" width="11.6640625" style="61" customWidth="1"/>
    <col min="7" max="7" width="8.6640625" style="61" customWidth="1"/>
    <col min="8" max="8" width="3.33203125" style="61" customWidth="1"/>
    <col min="9" max="9" width="8.6640625" style="61" customWidth="1"/>
    <col min="10" max="15" width="8.83203125" style="61" customWidth="1"/>
    <col min="16" max="17" width="8.6640625" style="61" customWidth="1"/>
    <col min="18" max="18" width="9.6640625" style="61" customWidth="1"/>
    <col min="19" max="20" width="8.1640625" style="61" bestFit="1" customWidth="1"/>
    <col min="21" max="21" width="10.83203125" style="61" customWidth="1"/>
    <col min="22" max="23" width="6.1640625" style="61" customWidth="1"/>
    <col min="24" max="24" width="14" style="61" customWidth="1"/>
    <col min="25" max="25" width="43.1640625" style="61" customWidth="1"/>
    <col min="26" max="26" width="9.83203125" style="61" customWidth="1"/>
    <col min="27" max="27" width="1.1640625" style="61" customWidth="1"/>
    <col min="28" max="16384" width="9" style="61"/>
  </cols>
  <sheetData>
    <row r="1" spans="1:26" ht="32.25" customHeight="1" thickBot="1">
      <c r="D1" s="61"/>
      <c r="E1" s="148"/>
      <c r="F1" s="339" t="s">
        <v>176</v>
      </c>
      <c r="G1" s="339"/>
      <c r="H1" s="339"/>
      <c r="I1" s="339"/>
      <c r="J1" s="339"/>
      <c r="K1" s="339"/>
      <c r="L1" s="339"/>
      <c r="M1" s="339"/>
      <c r="N1" s="339"/>
      <c r="O1" s="339"/>
      <c r="P1" s="339"/>
      <c r="Q1" s="339"/>
    </row>
    <row r="2" spans="1:26" ht="16.5" customHeight="1" thickBot="1">
      <c r="D2" s="232">
        <v>2026</v>
      </c>
      <c r="E2" s="239" t="s">
        <v>19</v>
      </c>
      <c r="G2" s="227"/>
      <c r="H2" s="228"/>
      <c r="I2" s="229"/>
      <c r="J2" s="106"/>
      <c r="K2" s="106"/>
      <c r="L2" s="106"/>
      <c r="M2" s="106"/>
      <c r="N2" s="106"/>
      <c r="O2" s="106"/>
      <c r="P2" s="106"/>
      <c r="Q2" s="106"/>
      <c r="R2" s="106"/>
      <c r="S2" s="106"/>
      <c r="U2" s="106"/>
      <c r="V2" s="106"/>
      <c r="W2" s="106"/>
      <c r="X2" s="205" t="s">
        <v>141</v>
      </c>
      <c r="Y2" s="206"/>
      <c r="Z2" s="106"/>
    </row>
    <row r="3" spans="1:26" ht="24.75" customHeight="1" thickBot="1">
      <c r="D3" s="233">
        <v>4</v>
      </c>
      <c r="E3" s="240" t="s">
        <v>21</v>
      </c>
      <c r="F3" s="234" t="s">
        <v>184</v>
      </c>
      <c r="G3" s="222"/>
      <c r="H3" s="230"/>
      <c r="I3" s="231"/>
      <c r="K3" s="106"/>
      <c r="N3" s="153" t="s">
        <v>186</v>
      </c>
      <c r="O3" s="241" t="s">
        <v>128</v>
      </c>
      <c r="P3" s="147"/>
      <c r="Q3" s="354" t="s">
        <v>142</v>
      </c>
      <c r="R3" s="354"/>
      <c r="S3" s="354"/>
      <c r="T3" s="354"/>
      <c r="U3" s="354"/>
      <c r="V3" s="146"/>
      <c r="W3" s="146"/>
      <c r="X3" s="203" t="s">
        <v>143</v>
      </c>
      <c r="Y3" s="204"/>
      <c r="Z3" s="106"/>
    </row>
    <row r="4" spans="1:26" ht="17" customHeight="1">
      <c r="D4" s="220"/>
      <c r="F4" s="221" t="s">
        <v>175</v>
      </c>
      <c r="G4" s="106"/>
      <c r="H4" s="106"/>
      <c r="I4" s="106"/>
      <c r="J4" s="106"/>
      <c r="K4" s="106"/>
      <c r="L4" s="106"/>
      <c r="M4" s="106"/>
      <c r="N4" s="106"/>
      <c r="O4" s="106"/>
      <c r="P4" s="106"/>
      <c r="Q4" s="106"/>
      <c r="R4" s="106"/>
      <c r="S4" s="106"/>
      <c r="T4" s="106"/>
      <c r="U4" s="106"/>
      <c r="V4" s="106"/>
      <c r="W4" s="106"/>
      <c r="X4" s="106"/>
      <c r="Y4" s="106"/>
      <c r="Z4" s="106"/>
    </row>
    <row r="5" spans="1:26" ht="21" customHeight="1">
      <c r="A5" s="311" t="s">
        <v>166</v>
      </c>
      <c r="B5" s="311" t="s">
        <v>5</v>
      </c>
      <c r="C5" s="157" t="s">
        <v>33</v>
      </c>
      <c r="D5" s="316" t="s">
        <v>174</v>
      </c>
      <c r="E5" s="317"/>
      <c r="F5" s="318"/>
      <c r="G5" s="345" t="s">
        <v>167</v>
      </c>
      <c r="H5" s="346"/>
      <c r="I5" s="347"/>
      <c r="J5" s="338" t="s">
        <v>154</v>
      </c>
      <c r="K5" s="338"/>
      <c r="L5" s="338"/>
      <c r="M5" s="338"/>
      <c r="N5" s="338"/>
      <c r="O5" s="338"/>
      <c r="P5" s="338"/>
      <c r="Q5" s="338"/>
      <c r="R5" s="338"/>
      <c r="S5" s="338"/>
      <c r="T5" s="338"/>
      <c r="U5" s="338"/>
      <c r="V5" s="338"/>
      <c r="W5" s="338"/>
      <c r="X5" s="316" t="s">
        <v>155</v>
      </c>
      <c r="Y5" s="318"/>
      <c r="Z5" s="311" t="s">
        <v>168</v>
      </c>
    </row>
    <row r="6" spans="1:26" ht="21" customHeight="1" thickBot="1">
      <c r="A6" s="312"/>
      <c r="B6" s="312"/>
      <c r="C6" s="215" t="s">
        <v>140</v>
      </c>
      <c r="D6" s="319"/>
      <c r="E6" s="320"/>
      <c r="F6" s="321"/>
      <c r="G6" s="348"/>
      <c r="H6" s="349"/>
      <c r="I6" s="350"/>
      <c r="J6" s="338" t="s">
        <v>153</v>
      </c>
      <c r="K6" s="343"/>
      <c r="L6" s="343"/>
      <c r="M6" s="343"/>
      <c r="N6" s="343"/>
      <c r="O6" s="343"/>
      <c r="P6" s="343"/>
      <c r="Q6" s="343"/>
      <c r="R6" s="343"/>
      <c r="S6" s="343"/>
      <c r="T6" s="343"/>
      <c r="U6" s="338"/>
      <c r="V6" s="340" t="s">
        <v>151</v>
      </c>
      <c r="W6" s="340"/>
      <c r="X6" s="319"/>
      <c r="Y6" s="321"/>
      <c r="Z6" s="312"/>
    </row>
    <row r="7" spans="1:26" ht="21" customHeight="1">
      <c r="A7" s="312"/>
      <c r="B7" s="312"/>
      <c r="C7" s="314" t="s">
        <v>147</v>
      </c>
      <c r="D7" s="319"/>
      <c r="E7" s="320"/>
      <c r="F7" s="321"/>
      <c r="G7" s="348"/>
      <c r="H7" s="349"/>
      <c r="I7" s="350"/>
      <c r="J7" s="334" t="s">
        <v>34</v>
      </c>
      <c r="K7" s="336" t="s">
        <v>164</v>
      </c>
      <c r="L7" s="174"/>
      <c r="M7" s="328" t="s">
        <v>198</v>
      </c>
      <c r="N7" s="329"/>
      <c r="O7" s="328" t="s">
        <v>149</v>
      </c>
      <c r="P7" s="329"/>
      <c r="Q7" s="328" t="s">
        <v>199</v>
      </c>
      <c r="R7" s="329"/>
      <c r="S7" s="328" t="s">
        <v>150</v>
      </c>
      <c r="T7" s="329"/>
      <c r="U7" s="321" t="s">
        <v>38</v>
      </c>
      <c r="V7" s="341" t="s">
        <v>121</v>
      </c>
      <c r="W7" s="341" t="s">
        <v>120</v>
      </c>
      <c r="X7" s="319"/>
      <c r="Y7" s="321"/>
      <c r="Z7" s="312"/>
    </row>
    <row r="8" spans="1:26" ht="21" customHeight="1">
      <c r="A8" s="312"/>
      <c r="B8" s="312"/>
      <c r="C8" s="314"/>
      <c r="D8" s="319"/>
      <c r="E8" s="320"/>
      <c r="F8" s="321"/>
      <c r="G8" s="348"/>
      <c r="H8" s="349"/>
      <c r="I8" s="350"/>
      <c r="J8" s="335"/>
      <c r="K8" s="337"/>
      <c r="L8" s="175" t="s">
        <v>39</v>
      </c>
      <c r="M8" s="176" t="s">
        <v>48</v>
      </c>
      <c r="N8" s="177" t="s">
        <v>40</v>
      </c>
      <c r="O8" s="176" t="s">
        <v>148</v>
      </c>
      <c r="P8" s="175" t="s">
        <v>41</v>
      </c>
      <c r="Q8" s="176" t="s">
        <v>49</v>
      </c>
      <c r="R8" s="178" t="s">
        <v>42</v>
      </c>
      <c r="S8" s="176" t="s">
        <v>50</v>
      </c>
      <c r="T8" s="178" t="s">
        <v>43</v>
      </c>
      <c r="U8" s="325"/>
      <c r="V8" s="342"/>
      <c r="W8" s="342"/>
      <c r="X8" s="333"/>
      <c r="Y8" s="321"/>
      <c r="Z8" s="312"/>
    </row>
    <row r="9" spans="1:26" ht="16.5" customHeight="1">
      <c r="A9" s="313"/>
      <c r="B9" s="313"/>
      <c r="C9" s="315"/>
      <c r="D9" s="322"/>
      <c r="E9" s="323"/>
      <c r="F9" s="324"/>
      <c r="G9" s="351"/>
      <c r="H9" s="352"/>
      <c r="I9" s="353"/>
      <c r="J9" s="169" t="s">
        <v>163</v>
      </c>
      <c r="K9" s="170" t="s">
        <v>163</v>
      </c>
      <c r="L9" s="171" t="s">
        <v>163</v>
      </c>
      <c r="M9" s="170" t="s">
        <v>163</v>
      </c>
      <c r="N9" s="172" t="s">
        <v>163</v>
      </c>
      <c r="O9" s="170" t="s">
        <v>163</v>
      </c>
      <c r="P9" s="171" t="s">
        <v>163</v>
      </c>
      <c r="Q9" s="170" t="s">
        <v>163</v>
      </c>
      <c r="R9" s="171" t="s">
        <v>163</v>
      </c>
      <c r="S9" s="170" t="s">
        <v>163</v>
      </c>
      <c r="T9" s="171" t="s">
        <v>163</v>
      </c>
      <c r="U9" s="173" t="s">
        <v>163</v>
      </c>
      <c r="V9" s="155" t="s">
        <v>152</v>
      </c>
      <c r="W9" s="155" t="s">
        <v>152</v>
      </c>
      <c r="X9" s="249" t="s">
        <v>161</v>
      </c>
      <c r="Y9" s="216"/>
      <c r="Z9" s="313"/>
    </row>
    <row r="10" spans="1:26" ht="17" customHeight="1">
      <c r="A10" s="289"/>
      <c r="B10" s="289"/>
      <c r="C10" s="235">
        <f>DATE($D$2,$D$3-1,21)</f>
        <v>46102</v>
      </c>
      <c r="D10" s="159"/>
      <c r="E10" s="244" t="s">
        <v>144</v>
      </c>
      <c r="F10" s="160"/>
      <c r="G10" s="250"/>
      <c r="H10" s="244" t="s">
        <v>144</v>
      </c>
      <c r="I10" s="255"/>
      <c r="J10" s="102" t="str">
        <f>IF(処理用!AW9&gt;0,処理用!AW9,"")</f>
        <v/>
      </c>
      <c r="K10" s="179" t="str">
        <f>IF(処理用!AX9&gt;0,処理用!AX9,"")</f>
        <v/>
      </c>
      <c r="L10" s="180" t="str">
        <f>IF(処理用!AY9&gt;0,処理用!AY9,"")</f>
        <v/>
      </c>
      <c r="M10" s="179" t="str">
        <f>IF(処理用!AZ9&gt;0,処理用!AZ9,"")</f>
        <v/>
      </c>
      <c r="N10" s="181" t="str">
        <f>IF(処理用!BA9&gt;0,処理用!BA9,"")</f>
        <v/>
      </c>
      <c r="O10" s="179" t="str">
        <f>IF((処理用!BB9+処理用!BC9)&gt;0,処理用!BB9+処理用!BC9,"")</f>
        <v/>
      </c>
      <c r="P10" s="180" t="str">
        <f>IF((処理用!BD9+処理用!BE9)&gt;0,処理用!BD9+処理用!BE9,"")</f>
        <v/>
      </c>
      <c r="Q10" s="179" t="str">
        <f>IF(処理用!BF9&gt;0,処理用!BF9,"")</f>
        <v/>
      </c>
      <c r="R10" s="180" t="str">
        <f>IF(処理用!BG9&gt;0,処理用!BG9,"")</f>
        <v/>
      </c>
      <c r="S10" s="179" t="str">
        <f>IF((処理用!BH9+処理用!BI9)&gt;0,処理用!BH9+処理用!BI9,"")</f>
        <v/>
      </c>
      <c r="T10" s="180" t="str">
        <f>IF((処理用!BJ9+処理用!BK9)&gt;0,処理用!BJ9+処理用!BK9,"")</f>
        <v/>
      </c>
      <c r="U10" s="304">
        <f>SUM(K10:T12)</f>
        <v>0</v>
      </c>
      <c r="V10" s="300">
        <f>VLOOKUP(C12,勤務形態オプション!$A$17:$C$24,2,FALSE)</f>
        <v>0</v>
      </c>
      <c r="W10" s="300">
        <f>VLOOKUP(C12,勤務形態オプション!$A$17:$C$24,3,FALSE)</f>
        <v>0</v>
      </c>
      <c r="X10" s="207"/>
      <c r="Y10" s="208"/>
      <c r="Z10" s="289"/>
    </row>
    <row r="11" spans="1:26" ht="17" customHeight="1">
      <c r="A11" s="289"/>
      <c r="B11" s="289"/>
      <c r="C11" s="158" t="str">
        <f>TEXT(WEEKDAY(C10,1),"(aaa)")</f>
        <v>(土)</v>
      </c>
      <c r="D11" s="159"/>
      <c r="E11" s="244" t="s">
        <v>144</v>
      </c>
      <c r="F11" s="160"/>
      <c r="G11" s="250"/>
      <c r="H11" s="244" t="s">
        <v>144</v>
      </c>
      <c r="I11" s="255"/>
      <c r="J11" s="103" t="str">
        <f>IF(処理用!AW10&gt;0,処理用!AW10,"")</f>
        <v/>
      </c>
      <c r="K11" s="182" t="str">
        <f>IF(処理用!AX10&gt;0,処理用!AX10,"")</f>
        <v/>
      </c>
      <c r="L11" s="183" t="str">
        <f>IF(処理用!AY10&gt;0,処理用!AY10,"")</f>
        <v/>
      </c>
      <c r="M11" s="182" t="str">
        <f>IF(処理用!AZ10&gt;0,処理用!AZ10,"")</f>
        <v/>
      </c>
      <c r="N11" s="184" t="str">
        <f>IF(処理用!BA10&gt;0,処理用!BA10,"")</f>
        <v/>
      </c>
      <c r="O11" s="179" t="str">
        <f>IF((処理用!BB10+処理用!BC10)&gt;0,処理用!BB10+処理用!BC10,"")</f>
        <v/>
      </c>
      <c r="P11" s="180" t="str">
        <f>IF((処理用!BD10+処理用!BE10)&gt;0,処理用!BD10+処理用!BE10,"")</f>
        <v/>
      </c>
      <c r="Q11" s="179" t="str">
        <f>IF(処理用!BF10&gt;0,処理用!BF10,"")</f>
        <v/>
      </c>
      <c r="R11" s="180" t="str">
        <f>IF(処理用!BG10&gt;0,処理用!BG10,"")</f>
        <v/>
      </c>
      <c r="S11" s="179" t="str">
        <f>IF((処理用!BH10+処理用!BI10)&gt;0,処理用!BH10+処理用!BI10,"")</f>
        <v/>
      </c>
      <c r="T11" s="180" t="str">
        <f>IF((処理用!BJ10+処理用!BK10)&gt;0,処理用!BJ10+処理用!BK10,"")</f>
        <v/>
      </c>
      <c r="U11" s="304"/>
      <c r="V11" s="300"/>
      <c r="W11" s="300"/>
      <c r="X11" s="207"/>
      <c r="Y11" s="209"/>
      <c r="Z11" s="289"/>
    </row>
    <row r="12" spans="1:26" ht="17" customHeight="1">
      <c r="A12" s="290"/>
      <c r="B12" s="290"/>
      <c r="C12" s="236"/>
      <c r="D12" s="161"/>
      <c r="E12" s="245" t="s">
        <v>144</v>
      </c>
      <c r="F12" s="162"/>
      <c r="G12" s="251"/>
      <c r="H12" s="245" t="s">
        <v>144</v>
      </c>
      <c r="I12" s="256"/>
      <c r="J12" s="103" t="str">
        <f>IF(処理用!AW11&gt;0,処理用!AW11,"")</f>
        <v/>
      </c>
      <c r="K12" s="182" t="str">
        <f>IF(処理用!AX11&gt;0,処理用!AX11,"")</f>
        <v/>
      </c>
      <c r="L12" s="183" t="str">
        <f>IF(処理用!AY11&gt;0,処理用!AY11,"")</f>
        <v/>
      </c>
      <c r="M12" s="182" t="str">
        <f>IF(処理用!AZ11&gt;0,処理用!AZ11,"")</f>
        <v/>
      </c>
      <c r="N12" s="184" t="str">
        <f>IF(処理用!BA11&gt;0,処理用!BA11,"")</f>
        <v/>
      </c>
      <c r="O12" s="179" t="str">
        <f>IF((処理用!BB11+処理用!BC11)&gt;0,処理用!BB11+処理用!BC11,"")</f>
        <v/>
      </c>
      <c r="P12" s="180" t="str">
        <f>IF((処理用!BD11+処理用!BE11)&gt;0,処理用!BD11+処理用!BE11,"")</f>
        <v/>
      </c>
      <c r="Q12" s="179" t="str">
        <f>IF(処理用!BF11&gt;0,処理用!BF11,"")</f>
        <v/>
      </c>
      <c r="R12" s="180" t="str">
        <f>IF(処理用!BG11&gt;0,処理用!BG11,"")</f>
        <v/>
      </c>
      <c r="S12" s="179" t="str">
        <f>IF((処理用!BH11+処理用!BI11)&gt;0,処理用!BH11+処理用!BI11,"")</f>
        <v/>
      </c>
      <c r="T12" s="180" t="str">
        <f>IF((処理用!BJ11+処理用!BK11)&gt;0,処理用!BJ11+処理用!BK11,"")</f>
        <v/>
      </c>
      <c r="U12" s="344"/>
      <c r="V12" s="301"/>
      <c r="W12" s="301"/>
      <c r="X12" s="210"/>
      <c r="Y12" s="211"/>
      <c r="Z12" s="290"/>
    </row>
    <row r="13" spans="1:26" ht="17" customHeight="1">
      <c r="A13" s="289"/>
      <c r="B13" s="289"/>
      <c r="C13" s="235">
        <f>DATE($D$2,$D$3-1,22)</f>
        <v>46103</v>
      </c>
      <c r="D13" s="163"/>
      <c r="E13" s="246" t="s">
        <v>144</v>
      </c>
      <c r="F13" s="164"/>
      <c r="G13" s="252"/>
      <c r="H13" s="246" t="s">
        <v>144</v>
      </c>
      <c r="I13" s="257"/>
      <c r="J13" s="104" t="str">
        <f>IF(処理用!AW12&gt;0,処理用!AW12,"")</f>
        <v/>
      </c>
      <c r="K13" s="185" t="str">
        <f>IF(処理用!AX12&gt;0,処理用!AX12,"")</f>
        <v/>
      </c>
      <c r="L13" s="186" t="str">
        <f>IF(処理用!AY12&gt;0,処理用!AY12,"")</f>
        <v/>
      </c>
      <c r="M13" s="185" t="str">
        <f>IF(処理用!AZ12&gt;0,処理用!AZ12,"")</f>
        <v/>
      </c>
      <c r="N13" s="187" t="str">
        <f>IF(処理用!BA12&gt;0,処理用!BA12,"")</f>
        <v/>
      </c>
      <c r="O13" s="185" t="str">
        <f>IF((処理用!BB12+処理用!BC12)&gt;0,処理用!BB12+処理用!BC12,"")</f>
        <v/>
      </c>
      <c r="P13" s="186" t="str">
        <f>IF((処理用!BD12+処理用!BE12)&gt;0,処理用!BD12+処理用!BE12,"")</f>
        <v/>
      </c>
      <c r="Q13" s="185" t="str">
        <f>IF(処理用!BF12&gt;0,処理用!BF12,"")</f>
        <v/>
      </c>
      <c r="R13" s="186" t="str">
        <f>IF(処理用!BG12&gt;0,処理用!BG12,"")</f>
        <v/>
      </c>
      <c r="S13" s="185" t="str">
        <f>IF((処理用!BH12+処理用!BI12)&gt;0,処理用!BH12+処理用!BI12,"")</f>
        <v/>
      </c>
      <c r="T13" s="186" t="str">
        <f>IF((処理用!BJ12+処理用!BK12)&gt;0,処理用!BJ12+処理用!BK12,"")</f>
        <v/>
      </c>
      <c r="U13" s="304">
        <f>SUM(K13:T15)+U10</f>
        <v>0</v>
      </c>
      <c r="V13" s="300">
        <f>VLOOKUP(C15,勤務形態オプション!$A$17:$C$24,2,FALSE)</f>
        <v>0</v>
      </c>
      <c r="W13" s="300">
        <f>VLOOKUP(C15,勤務形態オプション!$A$17:$C$24,3,FALSE)</f>
        <v>0</v>
      </c>
      <c r="X13" s="212"/>
      <c r="Y13" s="209"/>
      <c r="Z13" s="330"/>
    </row>
    <row r="14" spans="1:26" ht="17" customHeight="1">
      <c r="A14" s="289"/>
      <c r="B14" s="289"/>
      <c r="C14" s="158" t="str">
        <f>IF(C13&lt;&gt;"",TEXT(WEEKDAY(C13,1),"(aaa)"),"")</f>
        <v>(日)</v>
      </c>
      <c r="D14" s="159"/>
      <c r="E14" s="244" t="s">
        <v>144</v>
      </c>
      <c r="F14" s="160"/>
      <c r="G14" s="250"/>
      <c r="H14" s="244" t="s">
        <v>144</v>
      </c>
      <c r="I14" s="255"/>
      <c r="J14" s="103" t="str">
        <f>IF(処理用!AW13&gt;0,処理用!AW13,"")</f>
        <v/>
      </c>
      <c r="K14" s="182" t="str">
        <f>IF(処理用!AX13&gt;0,処理用!AX13,"")</f>
        <v/>
      </c>
      <c r="L14" s="183" t="str">
        <f>IF(処理用!AY13&gt;0,処理用!AY13,"")</f>
        <v/>
      </c>
      <c r="M14" s="182" t="str">
        <f>IF(処理用!AZ13&gt;0,処理用!AZ13,"")</f>
        <v/>
      </c>
      <c r="N14" s="184" t="str">
        <f>IF(処理用!BA13&gt;0,処理用!BA13,"")</f>
        <v/>
      </c>
      <c r="O14" s="179" t="str">
        <f>IF((処理用!BB13+処理用!BC13)&gt;0,処理用!BB13+処理用!BC13,"")</f>
        <v/>
      </c>
      <c r="P14" s="180" t="str">
        <f>IF((処理用!BD13+処理用!BE13)&gt;0,処理用!BD13+処理用!BE13,"")</f>
        <v/>
      </c>
      <c r="Q14" s="179" t="str">
        <f>IF(処理用!BF13&gt;0,処理用!BF13,"")</f>
        <v/>
      </c>
      <c r="R14" s="180" t="str">
        <f>IF(処理用!BG13&gt;0,処理用!BG13,"")</f>
        <v/>
      </c>
      <c r="S14" s="179" t="str">
        <f>IF((処理用!BH13+処理用!BI13)&gt;0,処理用!BH13+処理用!BI13,"")</f>
        <v/>
      </c>
      <c r="T14" s="180" t="str">
        <f>IF((処理用!BJ13+処理用!BK13)&gt;0,処理用!BJ13+処理用!BK13,"")</f>
        <v/>
      </c>
      <c r="U14" s="304"/>
      <c r="V14" s="300"/>
      <c r="W14" s="300"/>
      <c r="X14" s="207"/>
      <c r="Y14" s="209"/>
      <c r="Z14" s="331"/>
    </row>
    <row r="15" spans="1:26" ht="17" customHeight="1">
      <c r="A15" s="290"/>
      <c r="B15" s="290"/>
      <c r="C15" s="236"/>
      <c r="D15" s="165"/>
      <c r="E15" s="247" t="s">
        <v>144</v>
      </c>
      <c r="F15" s="166"/>
      <c r="G15" s="253"/>
      <c r="H15" s="247" t="s">
        <v>144</v>
      </c>
      <c r="I15" s="258"/>
      <c r="J15" s="103" t="str">
        <f>IF(処理用!AW14&gt;0,処理用!AW14,"")</f>
        <v/>
      </c>
      <c r="K15" s="182" t="str">
        <f>IF(処理用!AX14&gt;0,処理用!AX14,"")</f>
        <v/>
      </c>
      <c r="L15" s="183" t="str">
        <f>IF(処理用!AY14&gt;0,処理用!AY14,"")</f>
        <v/>
      </c>
      <c r="M15" s="182" t="str">
        <f>IF(処理用!AZ14&gt;0,処理用!AZ14,"")</f>
        <v/>
      </c>
      <c r="N15" s="184" t="str">
        <f>IF(処理用!BA14&gt;0,処理用!BA14,"")</f>
        <v/>
      </c>
      <c r="O15" s="179" t="str">
        <f>IF((処理用!BB14+処理用!BC14)&gt;0,処理用!BB14+処理用!BC14,"")</f>
        <v/>
      </c>
      <c r="P15" s="180" t="str">
        <f>IF((処理用!BD14+処理用!BE14)&gt;0,処理用!BD14+処理用!BE14,"")</f>
        <v/>
      </c>
      <c r="Q15" s="179" t="str">
        <f>IF(処理用!BF14&gt;0,処理用!BF14,"")</f>
        <v/>
      </c>
      <c r="R15" s="180" t="str">
        <f>IF(処理用!BG14&gt;0,処理用!BG14,"")</f>
        <v/>
      </c>
      <c r="S15" s="179" t="str">
        <f>IF((処理用!BH14+処理用!BI14)&gt;0,処理用!BH14+処理用!BI14,"")</f>
        <v/>
      </c>
      <c r="T15" s="180" t="str">
        <f>IF((処理用!BJ14+処理用!BK14)&gt;0,処理用!BJ14+処理用!BK14,"")</f>
        <v/>
      </c>
      <c r="U15" s="304"/>
      <c r="V15" s="301"/>
      <c r="W15" s="301"/>
      <c r="X15" s="210"/>
      <c r="Y15" s="211"/>
      <c r="Z15" s="332"/>
    </row>
    <row r="16" spans="1:26" ht="17" customHeight="1">
      <c r="A16" s="289"/>
      <c r="B16" s="289"/>
      <c r="C16" s="235">
        <f>DATE($D$2,$D$3-1,23)</f>
        <v>46104</v>
      </c>
      <c r="D16" s="167"/>
      <c r="E16" s="248" t="s">
        <v>144</v>
      </c>
      <c r="F16" s="168"/>
      <c r="G16" s="254"/>
      <c r="H16" s="248" t="s">
        <v>144</v>
      </c>
      <c r="I16" s="259"/>
      <c r="J16" s="104" t="str">
        <f>IF(処理用!AW15&gt;0,処理用!AW15,"")</f>
        <v/>
      </c>
      <c r="K16" s="185" t="str">
        <f>IF(処理用!AX15&gt;0,処理用!AX15,"")</f>
        <v/>
      </c>
      <c r="L16" s="186" t="str">
        <f>IF(処理用!AY15&gt;0,処理用!AY15,"")</f>
        <v/>
      </c>
      <c r="M16" s="185" t="str">
        <f>IF(処理用!AZ15&gt;0,処理用!AZ15,"")</f>
        <v/>
      </c>
      <c r="N16" s="187" t="str">
        <f>IF(処理用!BA15&gt;0,処理用!BA15,"")</f>
        <v/>
      </c>
      <c r="O16" s="185" t="str">
        <f>IF((処理用!BB15+処理用!BC15)&gt;0,処理用!BB15+処理用!BC15,"")</f>
        <v/>
      </c>
      <c r="P16" s="186" t="str">
        <f>IF((処理用!BD15+処理用!BE15)&gt;0,処理用!BD15+処理用!BE15,"")</f>
        <v/>
      </c>
      <c r="Q16" s="185" t="str">
        <f>IF(処理用!BF15&gt;0,処理用!BF15,"")</f>
        <v/>
      </c>
      <c r="R16" s="186" t="str">
        <f>IF(処理用!BG15&gt;0,処理用!BG15,"")</f>
        <v/>
      </c>
      <c r="S16" s="185" t="str">
        <f>IF((処理用!BH15+処理用!BI15)&gt;0,処理用!BH15+処理用!BI15,"")</f>
        <v/>
      </c>
      <c r="T16" s="186" t="str">
        <f>IF((処理用!BJ15+処理用!BK15)&gt;0,処理用!BJ15+処理用!BK15,"")</f>
        <v/>
      </c>
      <c r="U16" s="303">
        <f>SUM(K16:T18)+U13</f>
        <v>0</v>
      </c>
      <c r="V16" s="300">
        <f>VLOOKUP(C18,勤務形態オプション!$A$17:$C$24,2,FALSE)</f>
        <v>0</v>
      </c>
      <c r="W16" s="300">
        <f>VLOOKUP(C18,勤務形態オプション!$A$17:$C$24,3,FALSE)</f>
        <v>0</v>
      </c>
      <c r="X16" s="212"/>
      <c r="Y16" s="209"/>
      <c r="Z16" s="330"/>
    </row>
    <row r="17" spans="1:26" ht="17" customHeight="1">
      <c r="A17" s="289"/>
      <c r="B17" s="289"/>
      <c r="C17" s="158" t="str">
        <f>IF(C16&lt;&gt;"",TEXT(WEEKDAY(C16,1),"(aaa)"),"")</f>
        <v>(月)</v>
      </c>
      <c r="D17" s="159"/>
      <c r="E17" s="244" t="s">
        <v>144</v>
      </c>
      <c r="F17" s="160"/>
      <c r="G17" s="250"/>
      <c r="H17" s="244" t="s">
        <v>144</v>
      </c>
      <c r="I17" s="255"/>
      <c r="J17" s="103" t="str">
        <f>IF(処理用!AW16&gt;0,処理用!AW16,"")</f>
        <v/>
      </c>
      <c r="K17" s="182" t="str">
        <f>IF(処理用!AX16&gt;0,処理用!AX16,"")</f>
        <v/>
      </c>
      <c r="L17" s="183" t="str">
        <f>IF(処理用!AY16&gt;0,処理用!AY16,"")</f>
        <v/>
      </c>
      <c r="M17" s="182" t="str">
        <f>IF(処理用!AZ16&gt;0,処理用!AZ16,"")</f>
        <v/>
      </c>
      <c r="N17" s="184" t="str">
        <f>IF(処理用!BA16&gt;0,処理用!BA16,"")</f>
        <v/>
      </c>
      <c r="O17" s="179" t="str">
        <f>IF((処理用!BB16+処理用!BC16)&gt;0,処理用!BB16+処理用!BC16,"")</f>
        <v/>
      </c>
      <c r="P17" s="180" t="str">
        <f>IF((処理用!BD16+処理用!BE16)&gt;0,処理用!BD16+処理用!BE16,"")</f>
        <v/>
      </c>
      <c r="Q17" s="179" t="str">
        <f>IF(処理用!BF16&gt;0,処理用!BF16,"")</f>
        <v/>
      </c>
      <c r="R17" s="180" t="str">
        <f>IF(処理用!BG16&gt;0,処理用!BG16,"")</f>
        <v/>
      </c>
      <c r="S17" s="179" t="str">
        <f>IF((処理用!BH16+処理用!BI16)&gt;0,処理用!BH16+処理用!BI16,"")</f>
        <v/>
      </c>
      <c r="T17" s="180" t="str">
        <f>IF((処理用!BJ16+処理用!BK16)&gt;0,処理用!BJ16+処理用!BK16,"")</f>
        <v/>
      </c>
      <c r="U17" s="304"/>
      <c r="V17" s="300"/>
      <c r="W17" s="300"/>
      <c r="X17" s="207"/>
      <c r="Y17" s="209"/>
      <c r="Z17" s="331"/>
    </row>
    <row r="18" spans="1:26" ht="17" customHeight="1">
      <c r="A18" s="290"/>
      <c r="B18" s="290"/>
      <c r="C18" s="236"/>
      <c r="D18" s="161"/>
      <c r="E18" s="245" t="s">
        <v>144</v>
      </c>
      <c r="F18" s="162"/>
      <c r="G18" s="251"/>
      <c r="H18" s="245" t="s">
        <v>144</v>
      </c>
      <c r="I18" s="256"/>
      <c r="J18" s="103" t="str">
        <f>IF(処理用!AW17&gt;0,処理用!AW17,"")</f>
        <v/>
      </c>
      <c r="K18" s="182" t="str">
        <f>IF(処理用!AX17&gt;0,処理用!AX17,"")</f>
        <v/>
      </c>
      <c r="L18" s="183" t="str">
        <f>IF(処理用!AY17&gt;0,処理用!AY17,"")</f>
        <v/>
      </c>
      <c r="M18" s="182" t="str">
        <f>IF(処理用!AZ17&gt;0,処理用!AZ17,"")</f>
        <v/>
      </c>
      <c r="N18" s="184" t="str">
        <f>IF(処理用!BA17&gt;0,処理用!BA17,"")</f>
        <v/>
      </c>
      <c r="O18" s="179" t="str">
        <f>IF((処理用!BB17+処理用!BC17)&gt;0,処理用!BB17+処理用!BC17,"")</f>
        <v/>
      </c>
      <c r="P18" s="180" t="str">
        <f>IF((処理用!BD17+処理用!BE17)&gt;0,処理用!BD17+処理用!BE17,"")</f>
        <v/>
      </c>
      <c r="Q18" s="179" t="str">
        <f>IF(処理用!BF17&gt;0,処理用!BF17,"")</f>
        <v/>
      </c>
      <c r="R18" s="180" t="str">
        <f>IF(処理用!BG17&gt;0,処理用!BG17,"")</f>
        <v/>
      </c>
      <c r="S18" s="179" t="str">
        <f>IF((処理用!BH17+処理用!BI17)&gt;0,処理用!BH17+処理用!BI17,"")</f>
        <v/>
      </c>
      <c r="T18" s="180" t="str">
        <f>IF((処理用!BJ17+処理用!BK17)&gt;0,処理用!BJ17+処理用!BK17,"")</f>
        <v/>
      </c>
      <c r="U18" s="304"/>
      <c r="V18" s="301"/>
      <c r="W18" s="301"/>
      <c r="X18" s="210"/>
      <c r="Y18" s="211"/>
      <c r="Z18" s="332"/>
    </row>
    <row r="19" spans="1:26" ht="17" customHeight="1">
      <c r="A19" s="289"/>
      <c r="B19" s="289"/>
      <c r="C19" s="235">
        <f>DATE($D$2,$D$3-1,24)</f>
        <v>46105</v>
      </c>
      <c r="D19" s="163"/>
      <c r="E19" s="246" t="s">
        <v>126</v>
      </c>
      <c r="F19" s="164"/>
      <c r="G19" s="252"/>
      <c r="H19" s="246" t="s">
        <v>126</v>
      </c>
      <c r="I19" s="257"/>
      <c r="J19" s="104" t="str">
        <f>IF(処理用!AW18&gt;0,処理用!AW18,"")</f>
        <v/>
      </c>
      <c r="K19" s="185" t="str">
        <f>IF(処理用!AX18&gt;0,処理用!AX18,"")</f>
        <v/>
      </c>
      <c r="L19" s="186" t="str">
        <f>IF(処理用!AY18&gt;0,処理用!AY18,"")</f>
        <v/>
      </c>
      <c r="M19" s="185" t="str">
        <f>IF(処理用!AZ18&gt;0,処理用!AZ18,"")</f>
        <v/>
      </c>
      <c r="N19" s="187" t="str">
        <f>IF(処理用!BA18&gt;0,処理用!BA18,"")</f>
        <v/>
      </c>
      <c r="O19" s="185" t="str">
        <f>IF((処理用!BB18+処理用!BC18)&gt;0,処理用!BB18+処理用!BC18,"")</f>
        <v/>
      </c>
      <c r="P19" s="186" t="str">
        <f>IF((処理用!BD18+処理用!BE18)&gt;0,処理用!BD18+処理用!BE18,"")</f>
        <v/>
      </c>
      <c r="Q19" s="185" t="str">
        <f>IF(処理用!BF18&gt;0,処理用!BF18,"")</f>
        <v/>
      </c>
      <c r="R19" s="186" t="str">
        <f>IF(処理用!BG18&gt;0,処理用!BG18,"")</f>
        <v/>
      </c>
      <c r="S19" s="185" t="str">
        <f>IF((処理用!BH18+処理用!BI18)&gt;0,処理用!BH18+処理用!BI18,"")</f>
        <v/>
      </c>
      <c r="T19" s="186" t="str">
        <f>IF((処理用!BJ18+処理用!BK18)&gt;0,処理用!BJ18+処理用!BK18,"")</f>
        <v/>
      </c>
      <c r="U19" s="303">
        <f>SUM(K19:T21)+U16</f>
        <v>0</v>
      </c>
      <c r="V19" s="300">
        <f>VLOOKUP(C21,勤務形態オプション!$A$17:$C$24,2,FALSE)</f>
        <v>0</v>
      </c>
      <c r="W19" s="300">
        <f>VLOOKUP(C21,勤務形態オプション!$A$17:$C$24,3,FALSE)</f>
        <v>0</v>
      </c>
      <c r="X19" s="212"/>
      <c r="Y19" s="209"/>
      <c r="Z19" s="330"/>
    </row>
    <row r="20" spans="1:26" ht="17" customHeight="1">
      <c r="A20" s="289"/>
      <c r="B20" s="289"/>
      <c r="C20" s="158" t="str">
        <f>IF(C19&lt;&gt;"",TEXT(WEEKDAY(C19,1),"(aaa)"),"")</f>
        <v>(火)</v>
      </c>
      <c r="D20" s="159"/>
      <c r="E20" s="244" t="s">
        <v>126</v>
      </c>
      <c r="F20" s="160"/>
      <c r="G20" s="250"/>
      <c r="H20" s="244" t="s">
        <v>126</v>
      </c>
      <c r="I20" s="255"/>
      <c r="J20" s="103" t="str">
        <f>IF(処理用!AW19&gt;0,処理用!AW19,"")</f>
        <v/>
      </c>
      <c r="K20" s="182" t="str">
        <f>IF(処理用!AX19&gt;0,処理用!AX19,"")</f>
        <v/>
      </c>
      <c r="L20" s="183" t="str">
        <f>IF(処理用!AY19&gt;0,処理用!AY19,"")</f>
        <v/>
      </c>
      <c r="M20" s="182" t="str">
        <f>IF(処理用!AZ19&gt;0,処理用!AZ19,"")</f>
        <v/>
      </c>
      <c r="N20" s="184" t="str">
        <f>IF(処理用!BA19&gt;0,処理用!BA19,"")</f>
        <v/>
      </c>
      <c r="O20" s="179" t="str">
        <f>IF((処理用!BB19+処理用!BC19)&gt;0,処理用!BB19+処理用!BC19,"")</f>
        <v/>
      </c>
      <c r="P20" s="180" t="str">
        <f>IF((処理用!BD19+処理用!BE19)&gt;0,処理用!BD19+処理用!BE19,"")</f>
        <v/>
      </c>
      <c r="Q20" s="179" t="str">
        <f>IF(処理用!BF19&gt;0,処理用!BF19,"")</f>
        <v/>
      </c>
      <c r="R20" s="180" t="str">
        <f>IF(処理用!BG19&gt;0,処理用!BG19,"")</f>
        <v/>
      </c>
      <c r="S20" s="179" t="str">
        <f>IF((処理用!BH19+処理用!BI19)&gt;0,処理用!BH19+処理用!BI19,"")</f>
        <v/>
      </c>
      <c r="T20" s="180" t="str">
        <f>IF((処理用!BJ19+処理用!BK19)&gt;0,処理用!BJ19+処理用!BK19,"")</f>
        <v/>
      </c>
      <c r="U20" s="304"/>
      <c r="V20" s="300"/>
      <c r="W20" s="300"/>
      <c r="X20" s="207"/>
      <c r="Y20" s="209"/>
      <c r="Z20" s="331"/>
    </row>
    <row r="21" spans="1:26" ht="17" customHeight="1">
      <c r="A21" s="290"/>
      <c r="B21" s="290"/>
      <c r="C21" s="236"/>
      <c r="D21" s="165"/>
      <c r="E21" s="247" t="s">
        <v>126</v>
      </c>
      <c r="F21" s="166"/>
      <c r="G21" s="253"/>
      <c r="H21" s="247" t="s">
        <v>126</v>
      </c>
      <c r="I21" s="258"/>
      <c r="J21" s="103" t="str">
        <f>IF(処理用!AW20&gt;0,処理用!AW20,"")</f>
        <v/>
      </c>
      <c r="K21" s="182" t="str">
        <f>IF(処理用!AX20&gt;0,処理用!AX20,"")</f>
        <v/>
      </c>
      <c r="L21" s="183" t="str">
        <f>IF(処理用!AY20&gt;0,処理用!AY20,"")</f>
        <v/>
      </c>
      <c r="M21" s="182" t="str">
        <f>IF(処理用!AZ20&gt;0,処理用!AZ20,"")</f>
        <v/>
      </c>
      <c r="N21" s="184" t="str">
        <f>IF(処理用!BA20&gt;0,処理用!BA20,"")</f>
        <v/>
      </c>
      <c r="O21" s="179" t="str">
        <f>IF((処理用!BB20+処理用!BC20)&gt;0,処理用!BB20+処理用!BC20,"")</f>
        <v/>
      </c>
      <c r="P21" s="180" t="str">
        <f>IF((処理用!BD20+処理用!BE20)&gt;0,処理用!BD20+処理用!BE20,"")</f>
        <v/>
      </c>
      <c r="Q21" s="179" t="str">
        <f>IF(処理用!BF20&gt;0,処理用!BF20,"")</f>
        <v/>
      </c>
      <c r="R21" s="180" t="str">
        <f>IF(処理用!BG20&gt;0,処理用!BG20,"")</f>
        <v/>
      </c>
      <c r="S21" s="179" t="str">
        <f>IF((処理用!BH20+処理用!BI20)&gt;0,処理用!BH20+処理用!BI20,"")</f>
        <v/>
      </c>
      <c r="T21" s="180" t="str">
        <f>IF((処理用!BJ20+処理用!BK20)&gt;0,処理用!BJ20+処理用!BK20,"")</f>
        <v/>
      </c>
      <c r="U21" s="304"/>
      <c r="V21" s="301"/>
      <c r="W21" s="301"/>
      <c r="X21" s="210"/>
      <c r="Y21" s="211"/>
      <c r="Z21" s="332"/>
    </row>
    <row r="22" spans="1:26" ht="17" customHeight="1">
      <c r="A22" s="289"/>
      <c r="B22" s="289"/>
      <c r="C22" s="237">
        <f>DATE($D$2,$D$3-1,25)</f>
        <v>46106</v>
      </c>
      <c r="D22" s="167"/>
      <c r="E22" s="248" t="s">
        <v>126</v>
      </c>
      <c r="F22" s="168"/>
      <c r="G22" s="254"/>
      <c r="H22" s="248" t="s">
        <v>126</v>
      </c>
      <c r="I22" s="259"/>
      <c r="J22" s="104" t="str">
        <f>IF(処理用!AW21&gt;0,処理用!AW21,"")</f>
        <v/>
      </c>
      <c r="K22" s="185" t="str">
        <f>IF(処理用!AX21&gt;0,処理用!AX21,"")</f>
        <v/>
      </c>
      <c r="L22" s="186" t="str">
        <f>IF(処理用!AY21&gt;0,処理用!AY21,"")</f>
        <v/>
      </c>
      <c r="M22" s="185" t="str">
        <f>IF(処理用!AZ21&gt;0,処理用!AZ21,"")</f>
        <v/>
      </c>
      <c r="N22" s="187" t="str">
        <f>IF(処理用!BA21&gt;0,処理用!BA21,"")</f>
        <v/>
      </c>
      <c r="O22" s="185" t="str">
        <f>IF((処理用!BB21+処理用!BC21)&gt;0,処理用!BB21+処理用!BC21,"")</f>
        <v/>
      </c>
      <c r="P22" s="186" t="str">
        <f>IF((処理用!BD21+処理用!BE21)&gt;0,処理用!BD21+処理用!BE21,"")</f>
        <v/>
      </c>
      <c r="Q22" s="185" t="str">
        <f>IF(処理用!BF21&gt;0,処理用!BF21,"")</f>
        <v/>
      </c>
      <c r="R22" s="186" t="str">
        <f>IF(処理用!BG21&gt;0,処理用!BG21,"")</f>
        <v/>
      </c>
      <c r="S22" s="185" t="str">
        <f>IF((処理用!BH21+処理用!BI21)&gt;0,処理用!BH21+処理用!BI21,"")</f>
        <v/>
      </c>
      <c r="T22" s="186" t="str">
        <f>IF((処理用!BJ21+処理用!BK21)&gt;0,処理用!BJ21+処理用!BK21,"")</f>
        <v/>
      </c>
      <c r="U22" s="303">
        <f>SUM(K22:T24)+U19</f>
        <v>0</v>
      </c>
      <c r="V22" s="300">
        <f>VLOOKUP(C24,勤務形態オプション!$A$17:$C$24,2,FALSE)</f>
        <v>0</v>
      </c>
      <c r="W22" s="300">
        <f>VLOOKUP(C24,勤務形態オプション!$A$17:$C$24,3,FALSE)</f>
        <v>0</v>
      </c>
      <c r="X22" s="212"/>
      <c r="Y22" s="209"/>
      <c r="Z22" s="330"/>
    </row>
    <row r="23" spans="1:26" ht="17" customHeight="1">
      <c r="A23" s="289"/>
      <c r="B23" s="289"/>
      <c r="C23" s="158" t="str">
        <f>IF(C22&lt;&gt;"",TEXT(WEEKDAY(C22,1),"(aaa)"),"")</f>
        <v>(水)</v>
      </c>
      <c r="D23" s="159"/>
      <c r="E23" s="244" t="s">
        <v>126</v>
      </c>
      <c r="F23" s="160"/>
      <c r="G23" s="250"/>
      <c r="H23" s="244" t="s">
        <v>126</v>
      </c>
      <c r="I23" s="255"/>
      <c r="J23" s="103" t="str">
        <f>IF(処理用!AW22&gt;0,処理用!AW22,"")</f>
        <v/>
      </c>
      <c r="K23" s="182" t="str">
        <f>IF(処理用!AX22&gt;0,処理用!AX22,"")</f>
        <v/>
      </c>
      <c r="L23" s="183" t="str">
        <f>IF(処理用!AY22&gt;0,処理用!AY22,"")</f>
        <v/>
      </c>
      <c r="M23" s="182" t="str">
        <f>IF(処理用!AZ22&gt;0,処理用!AZ22,"")</f>
        <v/>
      </c>
      <c r="N23" s="184" t="str">
        <f>IF(処理用!BA22&gt;0,処理用!BA22,"")</f>
        <v/>
      </c>
      <c r="O23" s="179" t="str">
        <f>IF((処理用!BB22+処理用!BC22)&gt;0,処理用!BB22+処理用!BC22,"")</f>
        <v/>
      </c>
      <c r="P23" s="180" t="str">
        <f>IF((処理用!BD22+処理用!BE22)&gt;0,処理用!BD22+処理用!BE22,"")</f>
        <v/>
      </c>
      <c r="Q23" s="179" t="str">
        <f>IF(処理用!BF22&gt;0,処理用!BF22,"")</f>
        <v/>
      </c>
      <c r="R23" s="180" t="str">
        <f>IF(処理用!BG22&gt;0,処理用!BG22,"")</f>
        <v/>
      </c>
      <c r="S23" s="179" t="str">
        <f>IF((処理用!BH22+処理用!BI22)&gt;0,処理用!BH22+処理用!BI22,"")</f>
        <v/>
      </c>
      <c r="T23" s="180" t="str">
        <f>IF((処理用!BJ22+処理用!BK22)&gt;0,処理用!BJ22+処理用!BK22,"")</f>
        <v/>
      </c>
      <c r="U23" s="304"/>
      <c r="V23" s="300"/>
      <c r="W23" s="300"/>
      <c r="X23" s="207"/>
      <c r="Y23" s="209"/>
      <c r="Z23" s="331"/>
    </row>
    <row r="24" spans="1:26" ht="17" customHeight="1">
      <c r="A24" s="290"/>
      <c r="B24" s="290"/>
      <c r="C24" s="236"/>
      <c r="D24" s="161"/>
      <c r="E24" s="245" t="s">
        <v>126</v>
      </c>
      <c r="F24" s="162"/>
      <c r="G24" s="251"/>
      <c r="H24" s="245" t="s">
        <v>126</v>
      </c>
      <c r="I24" s="256"/>
      <c r="J24" s="103" t="str">
        <f>IF(処理用!AW23&gt;0,処理用!AW23,"")</f>
        <v/>
      </c>
      <c r="K24" s="182" t="str">
        <f>IF(処理用!AX23&gt;0,処理用!AX23,"")</f>
        <v/>
      </c>
      <c r="L24" s="183" t="str">
        <f>IF(処理用!AY23&gt;0,処理用!AY23,"")</f>
        <v/>
      </c>
      <c r="M24" s="182" t="str">
        <f>IF(処理用!AZ23&gt;0,処理用!AZ23,"")</f>
        <v/>
      </c>
      <c r="N24" s="184" t="str">
        <f>IF(処理用!BA23&gt;0,処理用!BA23,"")</f>
        <v/>
      </c>
      <c r="O24" s="179" t="str">
        <f>IF((処理用!BB23+処理用!BC23)&gt;0,処理用!BB23+処理用!BC23,"")</f>
        <v/>
      </c>
      <c r="P24" s="180" t="str">
        <f>IF((処理用!BD23+処理用!BE23)&gt;0,処理用!BD23+処理用!BE23,"")</f>
        <v/>
      </c>
      <c r="Q24" s="179" t="str">
        <f>IF(処理用!BF23&gt;0,処理用!BF23,"")</f>
        <v/>
      </c>
      <c r="R24" s="180" t="str">
        <f>IF(処理用!BG23&gt;0,処理用!BG23,"")</f>
        <v/>
      </c>
      <c r="S24" s="179" t="str">
        <f>IF((処理用!BH23+処理用!BI23)&gt;0,処理用!BH23+処理用!BI23,"")</f>
        <v/>
      </c>
      <c r="T24" s="180" t="str">
        <f>IF((処理用!BJ23+処理用!BK23)&gt;0,処理用!BJ23+処理用!BK23,"")</f>
        <v/>
      </c>
      <c r="U24" s="304"/>
      <c r="V24" s="301"/>
      <c r="W24" s="301"/>
      <c r="X24" s="210"/>
      <c r="Y24" s="211"/>
      <c r="Z24" s="332"/>
    </row>
    <row r="25" spans="1:26" ht="17" customHeight="1">
      <c r="A25" s="289"/>
      <c r="B25" s="289"/>
      <c r="C25" s="235">
        <f>DATE($D$2,$D$3-1,26)</f>
        <v>46107</v>
      </c>
      <c r="D25" s="163"/>
      <c r="E25" s="246" t="s">
        <v>126</v>
      </c>
      <c r="F25" s="164"/>
      <c r="G25" s="252"/>
      <c r="H25" s="246" t="s">
        <v>126</v>
      </c>
      <c r="I25" s="257"/>
      <c r="J25" s="104" t="str">
        <f>IF(処理用!AW24&gt;0,処理用!AW24,"")</f>
        <v/>
      </c>
      <c r="K25" s="185" t="str">
        <f>IF(処理用!AX24&gt;0,処理用!AX24,"")</f>
        <v/>
      </c>
      <c r="L25" s="186" t="str">
        <f>IF(処理用!AY24&gt;0,処理用!AY24,"")</f>
        <v/>
      </c>
      <c r="M25" s="185" t="str">
        <f>IF(処理用!AZ24&gt;0,処理用!AZ24,"")</f>
        <v/>
      </c>
      <c r="N25" s="187" t="str">
        <f>IF(処理用!BA24&gt;0,処理用!BA24,"")</f>
        <v/>
      </c>
      <c r="O25" s="185" t="str">
        <f>IF((処理用!BB24+処理用!BC24)&gt;0,処理用!BB24+処理用!BC24,"")</f>
        <v/>
      </c>
      <c r="P25" s="186" t="str">
        <f>IF((処理用!BD24+処理用!BE24)&gt;0,処理用!BD24+処理用!BE24,"")</f>
        <v/>
      </c>
      <c r="Q25" s="185" t="str">
        <f>IF(処理用!BF24&gt;0,処理用!BF24,"")</f>
        <v/>
      </c>
      <c r="R25" s="186" t="str">
        <f>IF(処理用!BG24&gt;0,処理用!BG24,"")</f>
        <v/>
      </c>
      <c r="S25" s="185" t="str">
        <f>IF((処理用!BH24+処理用!BI24)&gt;0,処理用!BH24+処理用!BI24,"")</f>
        <v/>
      </c>
      <c r="T25" s="186" t="str">
        <f>IF((処理用!BJ24+処理用!BK24)&gt;0,処理用!BJ24+処理用!BK24,"")</f>
        <v/>
      </c>
      <c r="U25" s="303">
        <f>SUM(K25:T27)+U22</f>
        <v>0</v>
      </c>
      <c r="V25" s="300">
        <f>VLOOKUP(C27,勤務形態オプション!$A$17:$C$24,2,FALSE)</f>
        <v>0</v>
      </c>
      <c r="W25" s="300">
        <f>VLOOKUP(C27,勤務形態オプション!$A$17:$C$24,3,FALSE)</f>
        <v>0</v>
      </c>
      <c r="X25" s="212"/>
      <c r="Y25" s="209"/>
      <c r="Z25" s="330"/>
    </row>
    <row r="26" spans="1:26" ht="17" customHeight="1">
      <c r="A26" s="289"/>
      <c r="B26" s="289"/>
      <c r="C26" s="158" t="str">
        <f>IF(C25&lt;&gt;"",TEXT(WEEKDAY(C25,1),"(aaa)"),"")</f>
        <v>(木)</v>
      </c>
      <c r="D26" s="159"/>
      <c r="E26" s="244" t="s">
        <v>126</v>
      </c>
      <c r="F26" s="160"/>
      <c r="G26" s="250"/>
      <c r="H26" s="244" t="s">
        <v>126</v>
      </c>
      <c r="I26" s="255"/>
      <c r="J26" s="103" t="str">
        <f>IF(処理用!AW25&gt;0,処理用!AW25,"")</f>
        <v/>
      </c>
      <c r="K26" s="182" t="str">
        <f>IF(処理用!AX25&gt;0,処理用!AX25,"")</f>
        <v/>
      </c>
      <c r="L26" s="183" t="str">
        <f>IF(処理用!AY25&gt;0,処理用!AY25,"")</f>
        <v/>
      </c>
      <c r="M26" s="182" t="str">
        <f>IF(処理用!AZ25&gt;0,処理用!AZ25,"")</f>
        <v/>
      </c>
      <c r="N26" s="184" t="str">
        <f>IF(処理用!BA25&gt;0,処理用!BA25,"")</f>
        <v/>
      </c>
      <c r="O26" s="179" t="str">
        <f>IF((処理用!BB25+処理用!BC25)&gt;0,処理用!BB25+処理用!BC25,"")</f>
        <v/>
      </c>
      <c r="P26" s="180" t="str">
        <f>IF((処理用!BD25+処理用!BE25)&gt;0,処理用!BD25+処理用!BE25,"")</f>
        <v/>
      </c>
      <c r="Q26" s="179" t="str">
        <f>IF(処理用!BF25&gt;0,処理用!BF25,"")</f>
        <v/>
      </c>
      <c r="R26" s="180" t="str">
        <f>IF(処理用!BG25&gt;0,処理用!BG25,"")</f>
        <v/>
      </c>
      <c r="S26" s="179" t="str">
        <f>IF((処理用!BH25+処理用!BI25)&gt;0,処理用!BH25+処理用!BI25,"")</f>
        <v/>
      </c>
      <c r="T26" s="180" t="str">
        <f>IF((処理用!BJ25+処理用!BK25)&gt;0,処理用!BJ25+処理用!BK25,"")</f>
        <v/>
      </c>
      <c r="U26" s="304"/>
      <c r="V26" s="300"/>
      <c r="W26" s="300"/>
      <c r="X26" s="207"/>
      <c r="Y26" s="209"/>
      <c r="Z26" s="331"/>
    </row>
    <row r="27" spans="1:26" ht="17" customHeight="1">
      <c r="A27" s="290"/>
      <c r="B27" s="290"/>
      <c r="C27" s="236"/>
      <c r="D27" s="165"/>
      <c r="E27" s="247" t="s">
        <v>126</v>
      </c>
      <c r="F27" s="166"/>
      <c r="G27" s="253"/>
      <c r="H27" s="247" t="s">
        <v>126</v>
      </c>
      <c r="I27" s="258"/>
      <c r="J27" s="103" t="str">
        <f>IF(処理用!AW26&gt;0,処理用!AW26,"")</f>
        <v/>
      </c>
      <c r="K27" s="182" t="str">
        <f>IF(処理用!AX26&gt;0,処理用!AX26,"")</f>
        <v/>
      </c>
      <c r="L27" s="183" t="str">
        <f>IF(処理用!AY26&gt;0,処理用!AY26,"")</f>
        <v/>
      </c>
      <c r="M27" s="182" t="str">
        <f>IF(処理用!AZ26&gt;0,処理用!AZ26,"")</f>
        <v/>
      </c>
      <c r="N27" s="184" t="str">
        <f>IF(処理用!BA26&gt;0,処理用!BA26,"")</f>
        <v/>
      </c>
      <c r="O27" s="179" t="str">
        <f>IF((処理用!BB26+処理用!BC26)&gt;0,処理用!BB26+処理用!BC26,"")</f>
        <v/>
      </c>
      <c r="P27" s="180" t="str">
        <f>IF((処理用!BD26+処理用!BE26)&gt;0,処理用!BD26+処理用!BE26,"")</f>
        <v/>
      </c>
      <c r="Q27" s="179" t="str">
        <f>IF(処理用!BF26&gt;0,処理用!BF26,"")</f>
        <v/>
      </c>
      <c r="R27" s="180" t="str">
        <f>IF(処理用!BG26&gt;0,処理用!BG26,"")</f>
        <v/>
      </c>
      <c r="S27" s="179" t="str">
        <f>IF((処理用!BH26+処理用!BI26)&gt;0,処理用!BH26+処理用!BI26,"")</f>
        <v/>
      </c>
      <c r="T27" s="180" t="str">
        <f>IF((処理用!BJ26+処理用!BK26)&gt;0,処理用!BJ26+処理用!BK26,"")</f>
        <v/>
      </c>
      <c r="U27" s="304"/>
      <c r="V27" s="301"/>
      <c r="W27" s="301"/>
      <c r="X27" s="210"/>
      <c r="Y27" s="211"/>
      <c r="Z27" s="332"/>
    </row>
    <row r="28" spans="1:26" ht="17" customHeight="1">
      <c r="A28" s="289"/>
      <c r="B28" s="289"/>
      <c r="C28" s="237">
        <f>DATE($D$2,$D$3-1,27)</f>
        <v>46108</v>
      </c>
      <c r="D28" s="167"/>
      <c r="E28" s="248" t="s">
        <v>126</v>
      </c>
      <c r="F28" s="168"/>
      <c r="G28" s="254"/>
      <c r="H28" s="248" t="s">
        <v>126</v>
      </c>
      <c r="I28" s="259"/>
      <c r="J28" s="104" t="str">
        <f>IF(処理用!AW27&gt;0,処理用!AW27,"")</f>
        <v/>
      </c>
      <c r="K28" s="185" t="str">
        <f>IF(処理用!AX27&gt;0,処理用!AX27,"")</f>
        <v/>
      </c>
      <c r="L28" s="186" t="str">
        <f>IF(処理用!AY27&gt;0,処理用!AY27,"")</f>
        <v/>
      </c>
      <c r="M28" s="185" t="str">
        <f>IF(処理用!AZ27&gt;0,処理用!AZ27,"")</f>
        <v/>
      </c>
      <c r="N28" s="187" t="str">
        <f>IF(処理用!BA27&gt;0,処理用!BA27,"")</f>
        <v/>
      </c>
      <c r="O28" s="185" t="str">
        <f>IF((処理用!BB27+処理用!BC27)&gt;0,処理用!BB27+処理用!BC27,"")</f>
        <v/>
      </c>
      <c r="P28" s="186" t="str">
        <f>IF((処理用!BD27+処理用!BE27)&gt;0,処理用!BD27+処理用!BE27,"")</f>
        <v/>
      </c>
      <c r="Q28" s="185" t="str">
        <f>IF(処理用!BF27&gt;0,処理用!BF27,"")</f>
        <v/>
      </c>
      <c r="R28" s="186" t="str">
        <f>IF(処理用!BG27&gt;0,処理用!BG27,"")</f>
        <v/>
      </c>
      <c r="S28" s="185" t="str">
        <f>IF((処理用!BH27+処理用!BI27)&gt;0,処理用!BH27+処理用!BI27,"")</f>
        <v/>
      </c>
      <c r="T28" s="186" t="str">
        <f>IF((処理用!BJ27+処理用!BK27)&gt;0,処理用!BJ27+処理用!BK27,"")</f>
        <v/>
      </c>
      <c r="U28" s="303">
        <f>SUM(K28:T30)+U25</f>
        <v>0</v>
      </c>
      <c r="V28" s="300">
        <f>VLOOKUP(C30,勤務形態オプション!$A$17:$C$24,2,FALSE)</f>
        <v>0</v>
      </c>
      <c r="W28" s="300">
        <f>VLOOKUP(C30,勤務形態オプション!$A$17:$C$24,3,FALSE)</f>
        <v>0</v>
      </c>
      <c r="X28" s="212"/>
      <c r="Y28" s="209"/>
      <c r="Z28" s="330"/>
    </row>
    <row r="29" spans="1:26" ht="17" customHeight="1">
      <c r="A29" s="289"/>
      <c r="B29" s="289"/>
      <c r="C29" s="158" t="str">
        <f>IF(C28&lt;&gt;"",TEXT(WEEKDAY(C28,1),"(aaa)"),"")</f>
        <v>(金)</v>
      </c>
      <c r="D29" s="159"/>
      <c r="E29" s="244" t="s">
        <v>126</v>
      </c>
      <c r="F29" s="160"/>
      <c r="G29" s="250"/>
      <c r="H29" s="244" t="s">
        <v>126</v>
      </c>
      <c r="I29" s="255"/>
      <c r="J29" s="103" t="str">
        <f>IF(処理用!AW28&gt;0,処理用!AW28,"")</f>
        <v/>
      </c>
      <c r="K29" s="182" t="str">
        <f>IF(処理用!AX28&gt;0,処理用!AX28,"")</f>
        <v/>
      </c>
      <c r="L29" s="183" t="str">
        <f>IF(処理用!AY28&gt;0,処理用!AY28,"")</f>
        <v/>
      </c>
      <c r="M29" s="182" t="str">
        <f>IF(処理用!AZ28&gt;0,処理用!AZ28,"")</f>
        <v/>
      </c>
      <c r="N29" s="184" t="str">
        <f>IF(処理用!BA28&gt;0,処理用!BA28,"")</f>
        <v/>
      </c>
      <c r="O29" s="179" t="str">
        <f>IF((処理用!BB28+処理用!BC28)&gt;0,処理用!BB28+処理用!BC28,"")</f>
        <v/>
      </c>
      <c r="P29" s="180" t="str">
        <f>IF((処理用!BD28+処理用!BE28)&gt;0,処理用!BD28+処理用!BE28,"")</f>
        <v/>
      </c>
      <c r="Q29" s="179" t="str">
        <f>IF(処理用!BF28&gt;0,処理用!BF28,"")</f>
        <v/>
      </c>
      <c r="R29" s="180" t="str">
        <f>IF(処理用!BG28&gt;0,処理用!BG28,"")</f>
        <v/>
      </c>
      <c r="S29" s="179" t="str">
        <f>IF((処理用!BH28+処理用!BI28)&gt;0,処理用!BH28+処理用!BI28,"")</f>
        <v/>
      </c>
      <c r="T29" s="180" t="str">
        <f>IF((処理用!BJ28+処理用!BK28)&gt;0,処理用!BJ28+処理用!BK28,"")</f>
        <v/>
      </c>
      <c r="U29" s="304"/>
      <c r="V29" s="300"/>
      <c r="W29" s="300"/>
      <c r="X29" s="207"/>
      <c r="Y29" s="209"/>
      <c r="Z29" s="331"/>
    </row>
    <row r="30" spans="1:26" ht="17" customHeight="1">
      <c r="A30" s="290"/>
      <c r="B30" s="290"/>
      <c r="C30" s="236"/>
      <c r="D30" s="161"/>
      <c r="E30" s="245" t="s">
        <v>126</v>
      </c>
      <c r="F30" s="162"/>
      <c r="G30" s="251"/>
      <c r="H30" s="245" t="s">
        <v>126</v>
      </c>
      <c r="I30" s="256"/>
      <c r="J30" s="103" t="str">
        <f>IF(処理用!AW29&gt;0,処理用!AW29,"")</f>
        <v/>
      </c>
      <c r="K30" s="182" t="str">
        <f>IF(処理用!AX29&gt;0,処理用!AX29,"")</f>
        <v/>
      </c>
      <c r="L30" s="183" t="str">
        <f>IF(処理用!AY29&gt;0,処理用!AY29,"")</f>
        <v/>
      </c>
      <c r="M30" s="182" t="str">
        <f>IF(処理用!AZ29&gt;0,処理用!AZ29,"")</f>
        <v/>
      </c>
      <c r="N30" s="184" t="str">
        <f>IF(処理用!BA29&gt;0,処理用!BA29,"")</f>
        <v/>
      </c>
      <c r="O30" s="179" t="str">
        <f>IF((処理用!BB29+処理用!BC29)&gt;0,処理用!BB29+処理用!BC29,"")</f>
        <v/>
      </c>
      <c r="P30" s="180" t="str">
        <f>IF((処理用!BD29+処理用!BE29)&gt;0,処理用!BD29+処理用!BE29,"")</f>
        <v/>
      </c>
      <c r="Q30" s="179" t="str">
        <f>IF(処理用!BF29&gt;0,処理用!BF29,"")</f>
        <v/>
      </c>
      <c r="R30" s="180" t="str">
        <f>IF(処理用!BG29&gt;0,処理用!BG29,"")</f>
        <v/>
      </c>
      <c r="S30" s="179" t="str">
        <f>IF((処理用!BH29+処理用!BI29)&gt;0,処理用!BH29+処理用!BI29,"")</f>
        <v/>
      </c>
      <c r="T30" s="180" t="str">
        <f>IF((処理用!BJ29+処理用!BK29)&gt;0,処理用!BJ29+処理用!BK29,"")</f>
        <v/>
      </c>
      <c r="U30" s="304"/>
      <c r="V30" s="301"/>
      <c r="W30" s="301"/>
      <c r="X30" s="213"/>
      <c r="Y30" s="211"/>
      <c r="Z30" s="332"/>
    </row>
    <row r="31" spans="1:26" ht="17" customHeight="1">
      <c r="A31" s="289"/>
      <c r="B31" s="289"/>
      <c r="C31" s="235">
        <f>DATE($D$2,$D$3-1,28)</f>
        <v>46109</v>
      </c>
      <c r="D31" s="163"/>
      <c r="E31" s="246" t="s">
        <v>126</v>
      </c>
      <c r="F31" s="164"/>
      <c r="G31" s="252"/>
      <c r="H31" s="246" t="s">
        <v>126</v>
      </c>
      <c r="I31" s="257"/>
      <c r="J31" s="104" t="str">
        <f>IF(処理用!AW30&gt;0,処理用!AW30,"")</f>
        <v/>
      </c>
      <c r="K31" s="185" t="str">
        <f>IF(処理用!AX30&gt;0,処理用!AX30,"")</f>
        <v/>
      </c>
      <c r="L31" s="186" t="str">
        <f>IF(処理用!AY30&gt;0,処理用!AY30,"")</f>
        <v/>
      </c>
      <c r="M31" s="185" t="str">
        <f>IF(処理用!AZ30&gt;0,処理用!AZ30,"")</f>
        <v/>
      </c>
      <c r="N31" s="187" t="str">
        <f>IF(処理用!BA30&gt;0,処理用!BA30,"")</f>
        <v/>
      </c>
      <c r="O31" s="185" t="str">
        <f>IF((処理用!BB30+処理用!BC30)&gt;0,処理用!BB30+処理用!BC30,"")</f>
        <v/>
      </c>
      <c r="P31" s="186" t="str">
        <f>IF((処理用!BD30+処理用!BE30)&gt;0,処理用!BD30+処理用!BE30,"")</f>
        <v/>
      </c>
      <c r="Q31" s="185" t="str">
        <f>IF(処理用!BF30&gt;0,処理用!BF30,"")</f>
        <v/>
      </c>
      <c r="R31" s="186" t="str">
        <f>IF(処理用!BG30&gt;0,処理用!BG30,"")</f>
        <v/>
      </c>
      <c r="S31" s="185" t="str">
        <f>IF((処理用!BH30+処理用!BI30)&gt;0,処理用!BH30+処理用!BI30,"")</f>
        <v/>
      </c>
      <c r="T31" s="186" t="str">
        <f>IF((処理用!BJ30+処理用!BK30)&gt;0,処理用!BJ30+処理用!BK30,"")</f>
        <v/>
      </c>
      <c r="U31" s="303">
        <f>SUM(K31:T33)+U28</f>
        <v>0</v>
      </c>
      <c r="V31" s="300">
        <f>VLOOKUP(C33,勤務形態オプション!$A$17:$C$24,2,FALSE)</f>
        <v>0</v>
      </c>
      <c r="W31" s="300">
        <f>VLOOKUP(C33,勤務形態オプション!$A$17:$C$24,3,FALSE)</f>
        <v>0</v>
      </c>
      <c r="X31" s="214"/>
      <c r="Y31" s="209"/>
      <c r="Z31" s="330"/>
    </row>
    <row r="32" spans="1:26" ht="17" customHeight="1">
      <c r="A32" s="289"/>
      <c r="B32" s="289"/>
      <c r="C32" s="158" t="str">
        <f>IF(C31&lt;&gt;"",TEXT(WEEKDAY(C31,1),"(aaa)"),"")</f>
        <v>(土)</v>
      </c>
      <c r="D32" s="159"/>
      <c r="E32" s="244" t="s">
        <v>126</v>
      </c>
      <c r="F32" s="160"/>
      <c r="G32" s="250"/>
      <c r="H32" s="244" t="s">
        <v>126</v>
      </c>
      <c r="I32" s="255"/>
      <c r="J32" s="103" t="str">
        <f>IF(処理用!AW31&gt;0,処理用!AW31,"")</f>
        <v/>
      </c>
      <c r="K32" s="182" t="str">
        <f>IF(処理用!AX31&gt;0,処理用!AX31,"")</f>
        <v/>
      </c>
      <c r="L32" s="183" t="str">
        <f>IF(処理用!AY31&gt;0,処理用!AY31,"")</f>
        <v/>
      </c>
      <c r="M32" s="182" t="str">
        <f>IF(処理用!AZ31&gt;0,処理用!AZ31,"")</f>
        <v/>
      </c>
      <c r="N32" s="184" t="str">
        <f>IF(処理用!BA31&gt;0,処理用!BA31,"")</f>
        <v/>
      </c>
      <c r="O32" s="179" t="str">
        <f>IF((処理用!BB31+処理用!BC31)&gt;0,処理用!BB31+処理用!BC31,"")</f>
        <v/>
      </c>
      <c r="P32" s="180" t="str">
        <f>IF((処理用!BD31+処理用!BE31)&gt;0,処理用!BD31+処理用!BE31,"")</f>
        <v/>
      </c>
      <c r="Q32" s="179" t="str">
        <f>IF(処理用!BF31&gt;0,処理用!BF31,"")</f>
        <v/>
      </c>
      <c r="R32" s="180" t="str">
        <f>IF(処理用!BG31&gt;0,処理用!BG31,"")</f>
        <v/>
      </c>
      <c r="S32" s="179" t="str">
        <f>IF((処理用!BH31+処理用!BI31)&gt;0,処理用!BH31+処理用!BI31,"")</f>
        <v/>
      </c>
      <c r="T32" s="180" t="str">
        <f>IF((処理用!BJ31+処理用!BK31)&gt;0,処理用!BJ31+処理用!BK31,"")</f>
        <v/>
      </c>
      <c r="U32" s="304"/>
      <c r="V32" s="300"/>
      <c r="W32" s="300"/>
      <c r="X32" s="207"/>
      <c r="Y32" s="209"/>
      <c r="Z32" s="331"/>
    </row>
    <row r="33" spans="1:26" ht="17" customHeight="1">
      <c r="A33" s="290"/>
      <c r="B33" s="290"/>
      <c r="C33" s="236"/>
      <c r="D33" s="165"/>
      <c r="E33" s="247" t="s">
        <v>126</v>
      </c>
      <c r="F33" s="166"/>
      <c r="G33" s="253"/>
      <c r="H33" s="247" t="s">
        <v>126</v>
      </c>
      <c r="I33" s="258"/>
      <c r="J33" s="103" t="str">
        <f>IF(処理用!AW32&gt;0,処理用!AW32,"")</f>
        <v/>
      </c>
      <c r="K33" s="182" t="str">
        <f>IF(処理用!AX32&gt;0,処理用!AX32,"")</f>
        <v/>
      </c>
      <c r="L33" s="183" t="str">
        <f>IF(処理用!AY32&gt;0,処理用!AY32,"")</f>
        <v/>
      </c>
      <c r="M33" s="182" t="str">
        <f>IF(処理用!AZ32&gt;0,処理用!AZ32,"")</f>
        <v/>
      </c>
      <c r="N33" s="184" t="str">
        <f>IF(処理用!BA32&gt;0,処理用!BA32,"")</f>
        <v/>
      </c>
      <c r="O33" s="179" t="str">
        <f>IF((処理用!BB32+処理用!BC32)&gt;0,処理用!BB32+処理用!BC32,"")</f>
        <v/>
      </c>
      <c r="P33" s="180" t="str">
        <f>IF((処理用!BD32+処理用!BE32)&gt;0,処理用!BD32+処理用!BE32,"")</f>
        <v/>
      </c>
      <c r="Q33" s="179" t="str">
        <f>IF(処理用!BF32&gt;0,処理用!BF32,"")</f>
        <v/>
      </c>
      <c r="R33" s="180" t="str">
        <f>IF(処理用!BG32&gt;0,処理用!BG32,"")</f>
        <v/>
      </c>
      <c r="S33" s="179" t="str">
        <f>IF((処理用!BH32+処理用!BI32)&gt;0,処理用!BH32+処理用!BI32,"")</f>
        <v/>
      </c>
      <c r="T33" s="180" t="str">
        <f>IF((処理用!BJ32+処理用!BK32)&gt;0,処理用!BJ32+処理用!BK32,"")</f>
        <v/>
      </c>
      <c r="U33" s="304"/>
      <c r="V33" s="301"/>
      <c r="W33" s="301"/>
      <c r="X33" s="210"/>
      <c r="Y33" s="211"/>
      <c r="Z33" s="332"/>
    </row>
    <row r="34" spans="1:26" ht="17" customHeight="1">
      <c r="A34" s="289"/>
      <c r="B34" s="289"/>
      <c r="C34" s="237">
        <f>DATE($D$2,$D$3-1,29)</f>
        <v>46110</v>
      </c>
      <c r="D34" s="167"/>
      <c r="E34" s="248"/>
      <c r="F34" s="168"/>
      <c r="G34" s="254"/>
      <c r="H34" s="248" t="s">
        <v>126</v>
      </c>
      <c r="I34" s="259"/>
      <c r="J34" s="104" t="str">
        <f>IF(処理用!AW33&gt;0,処理用!AW33,"")</f>
        <v/>
      </c>
      <c r="K34" s="185" t="str">
        <f>IF(処理用!AX33&gt;0,処理用!AX33,"")</f>
        <v/>
      </c>
      <c r="L34" s="186" t="str">
        <f>IF(処理用!AY33&gt;0,処理用!AY33,"")</f>
        <v/>
      </c>
      <c r="M34" s="185" t="str">
        <f>IF(処理用!AZ33&gt;0,処理用!AZ33,"")</f>
        <v/>
      </c>
      <c r="N34" s="187" t="str">
        <f>IF(処理用!BA33&gt;0,処理用!BA33,"")</f>
        <v/>
      </c>
      <c r="O34" s="185" t="str">
        <f>IF((処理用!BB33+処理用!BC33)&gt;0,処理用!BB33+処理用!BC33,"")</f>
        <v/>
      </c>
      <c r="P34" s="186" t="str">
        <f>IF((処理用!BD33+処理用!BE33)&gt;0,処理用!BD33+処理用!BE33,"")</f>
        <v/>
      </c>
      <c r="Q34" s="185" t="str">
        <f>IF(処理用!BF33&gt;0,処理用!BF33,"")</f>
        <v/>
      </c>
      <c r="R34" s="186" t="str">
        <f>IF(処理用!BG33&gt;0,処理用!BG33,"")</f>
        <v/>
      </c>
      <c r="S34" s="185" t="str">
        <f>IF((処理用!BH33+処理用!BI33)&gt;0,処理用!BH33+処理用!BI33,"")</f>
        <v/>
      </c>
      <c r="T34" s="186" t="str">
        <f>IF((処理用!BJ33+処理用!BK33)&gt;0,処理用!BJ33+処理用!BK33,"")</f>
        <v/>
      </c>
      <c r="U34" s="303">
        <f>SUM(K34:T36)+U31</f>
        <v>0</v>
      </c>
      <c r="V34" s="300">
        <f>VLOOKUP(C36,勤務形態オプション!$A$17:$C$24,2,FALSE)</f>
        <v>0</v>
      </c>
      <c r="W34" s="300">
        <f>VLOOKUP(C36,勤務形態オプション!$A$17:$C$24,3,FALSE)</f>
        <v>0</v>
      </c>
      <c r="X34" s="212"/>
      <c r="Y34" s="209"/>
      <c r="Z34" s="330"/>
    </row>
    <row r="35" spans="1:26" ht="17" customHeight="1">
      <c r="A35" s="289"/>
      <c r="B35" s="289"/>
      <c r="C35" s="158" t="str">
        <f>IF(C34&lt;&gt;"",TEXT(WEEKDAY(C34,1),"(aaa)"),"")</f>
        <v>(日)</v>
      </c>
      <c r="D35" s="159"/>
      <c r="E35" s="244" t="s">
        <v>126</v>
      </c>
      <c r="F35" s="160"/>
      <c r="G35" s="250"/>
      <c r="H35" s="244" t="s">
        <v>126</v>
      </c>
      <c r="I35" s="255"/>
      <c r="J35" s="103" t="str">
        <f>IF(処理用!AW34&gt;0,処理用!AW34,"")</f>
        <v/>
      </c>
      <c r="K35" s="182" t="str">
        <f>IF(処理用!AX34&gt;0,処理用!AX34,"")</f>
        <v/>
      </c>
      <c r="L35" s="183" t="str">
        <f>IF(処理用!AY34&gt;0,処理用!AY34,"")</f>
        <v/>
      </c>
      <c r="M35" s="182" t="str">
        <f>IF(処理用!AZ34&gt;0,処理用!AZ34,"")</f>
        <v/>
      </c>
      <c r="N35" s="184" t="str">
        <f>IF(処理用!BA34&gt;0,処理用!BA34,"")</f>
        <v/>
      </c>
      <c r="O35" s="179" t="str">
        <f>IF((処理用!BB34+処理用!BC34)&gt;0,処理用!BB34+処理用!BC34,"")</f>
        <v/>
      </c>
      <c r="P35" s="180" t="str">
        <f>IF((処理用!BD34+処理用!BE34)&gt;0,処理用!BD34+処理用!BE34,"")</f>
        <v/>
      </c>
      <c r="Q35" s="179" t="str">
        <f>IF(処理用!BF34&gt;0,処理用!BF34,"")</f>
        <v/>
      </c>
      <c r="R35" s="180" t="str">
        <f>IF(処理用!BG34&gt;0,処理用!BG34,"")</f>
        <v/>
      </c>
      <c r="S35" s="179" t="str">
        <f>IF((処理用!BH34+処理用!BI34)&gt;0,処理用!BH34+処理用!BI34,"")</f>
        <v/>
      </c>
      <c r="T35" s="180" t="str">
        <f>IF((処理用!BJ34+処理用!BK34)&gt;0,処理用!BJ34+処理用!BK34,"")</f>
        <v/>
      </c>
      <c r="U35" s="304"/>
      <c r="V35" s="300"/>
      <c r="W35" s="300"/>
      <c r="X35" s="207"/>
      <c r="Y35" s="209"/>
      <c r="Z35" s="331"/>
    </row>
    <row r="36" spans="1:26" ht="17" customHeight="1">
      <c r="A36" s="290"/>
      <c r="B36" s="290"/>
      <c r="C36" s="236"/>
      <c r="D36" s="161"/>
      <c r="E36" s="245" t="s">
        <v>126</v>
      </c>
      <c r="F36" s="162"/>
      <c r="G36" s="251"/>
      <c r="H36" s="245" t="s">
        <v>126</v>
      </c>
      <c r="I36" s="256"/>
      <c r="J36" s="103" t="str">
        <f>IF(処理用!AW35&gt;0,処理用!AW35,"")</f>
        <v/>
      </c>
      <c r="K36" s="182" t="str">
        <f>IF(処理用!AX35&gt;0,処理用!AX35,"")</f>
        <v/>
      </c>
      <c r="L36" s="183" t="str">
        <f>IF(処理用!AY35&gt;0,処理用!AY35,"")</f>
        <v/>
      </c>
      <c r="M36" s="182" t="str">
        <f>IF(処理用!AZ35&gt;0,処理用!AZ35,"")</f>
        <v/>
      </c>
      <c r="N36" s="184" t="str">
        <f>IF(処理用!BA35&gt;0,処理用!BA35,"")</f>
        <v/>
      </c>
      <c r="O36" s="179" t="str">
        <f>IF((処理用!BB35+処理用!BC35)&gt;0,処理用!BB35+処理用!BC35,"")</f>
        <v/>
      </c>
      <c r="P36" s="180" t="str">
        <f>IF((処理用!BD35+処理用!BE35)&gt;0,処理用!BD35+処理用!BE35,"")</f>
        <v/>
      </c>
      <c r="Q36" s="179" t="str">
        <f>IF(処理用!BF35&gt;0,処理用!BF35,"")</f>
        <v/>
      </c>
      <c r="R36" s="180" t="str">
        <f>IF(処理用!BG35&gt;0,処理用!BG35,"")</f>
        <v/>
      </c>
      <c r="S36" s="179" t="str">
        <f>IF((処理用!BH35+処理用!BI35)&gt;0,処理用!BH35+処理用!BI35,"")</f>
        <v/>
      </c>
      <c r="T36" s="180" t="str">
        <f>IF((処理用!BJ35+処理用!BK35)&gt;0,処理用!BJ35+処理用!BK35,"")</f>
        <v/>
      </c>
      <c r="U36" s="304"/>
      <c r="V36" s="301"/>
      <c r="W36" s="301"/>
      <c r="X36" s="213"/>
      <c r="Y36" s="211"/>
      <c r="Z36" s="332"/>
    </row>
    <row r="37" spans="1:26" ht="17" customHeight="1">
      <c r="A37" s="289"/>
      <c r="B37" s="289"/>
      <c r="C37" s="235">
        <f>DATE($D$2,$D$3-1,30)</f>
        <v>46111</v>
      </c>
      <c r="D37" s="163"/>
      <c r="E37" s="246" t="s">
        <v>126</v>
      </c>
      <c r="F37" s="164"/>
      <c r="G37" s="252"/>
      <c r="H37" s="246" t="s">
        <v>126</v>
      </c>
      <c r="I37" s="257"/>
      <c r="J37" s="104" t="str">
        <f>IF(処理用!AW36&gt;0,処理用!AW36,"")</f>
        <v/>
      </c>
      <c r="K37" s="185" t="str">
        <f>IF(処理用!AX36&gt;0,処理用!AX36,"")</f>
        <v/>
      </c>
      <c r="L37" s="186" t="str">
        <f>IF(処理用!AY36&gt;0,処理用!AY36,"")</f>
        <v/>
      </c>
      <c r="M37" s="185" t="str">
        <f>IF(処理用!AZ36&gt;0,処理用!AZ36,"")</f>
        <v/>
      </c>
      <c r="N37" s="187" t="str">
        <f>IF(処理用!BA36&gt;0,処理用!BA36,"")</f>
        <v/>
      </c>
      <c r="O37" s="185" t="str">
        <f>IF((処理用!BB36+処理用!BC36)&gt;0,処理用!BB36+処理用!BC36,"")</f>
        <v/>
      </c>
      <c r="P37" s="186" t="str">
        <f>IF((処理用!BD36+処理用!BE36)&gt;0,処理用!BD36+処理用!BE36,"")</f>
        <v/>
      </c>
      <c r="Q37" s="185" t="str">
        <f>IF(処理用!BF36&gt;0,処理用!BF36,"")</f>
        <v/>
      </c>
      <c r="R37" s="186" t="str">
        <f>IF(処理用!BG36&gt;0,処理用!BG36,"")</f>
        <v/>
      </c>
      <c r="S37" s="185" t="str">
        <f>IF((処理用!BH36+処理用!BI36)&gt;0,処理用!BH36+処理用!BI36,"")</f>
        <v/>
      </c>
      <c r="T37" s="186" t="str">
        <f>IF((処理用!BJ36+処理用!BK36)&gt;0,処理用!BJ36+処理用!BK36,"")</f>
        <v/>
      </c>
      <c r="U37" s="303">
        <f>SUM(K37:T39)+U34</f>
        <v>0</v>
      </c>
      <c r="V37" s="300">
        <f>VLOOKUP(C39,勤務形態オプション!$A$17:$C$24,2,FALSE)</f>
        <v>0</v>
      </c>
      <c r="W37" s="300">
        <f>VLOOKUP(C39,勤務形態オプション!$A$17:$C$24,3,FALSE)</f>
        <v>0</v>
      </c>
      <c r="X37" s="214"/>
      <c r="Y37" s="209"/>
      <c r="Z37" s="330"/>
    </row>
    <row r="38" spans="1:26" ht="17" customHeight="1">
      <c r="A38" s="289"/>
      <c r="B38" s="289"/>
      <c r="C38" s="158" t="str">
        <f>IF(C37&lt;&gt;"",TEXT(WEEKDAY(C37,1),"(aaa)"),"")</f>
        <v>(月)</v>
      </c>
      <c r="D38" s="159"/>
      <c r="E38" s="244" t="s">
        <v>126</v>
      </c>
      <c r="F38" s="160"/>
      <c r="G38" s="250"/>
      <c r="H38" s="244" t="s">
        <v>126</v>
      </c>
      <c r="I38" s="255"/>
      <c r="J38" s="103" t="str">
        <f>IF(処理用!AW37&gt;0,処理用!AW37,"")</f>
        <v/>
      </c>
      <c r="K38" s="182" t="str">
        <f>IF(処理用!AX37&gt;0,処理用!AX37,"")</f>
        <v/>
      </c>
      <c r="L38" s="183" t="str">
        <f>IF(処理用!AY37&gt;0,処理用!AY37,"")</f>
        <v/>
      </c>
      <c r="M38" s="182" t="str">
        <f>IF(処理用!AZ37&gt;0,処理用!AZ37,"")</f>
        <v/>
      </c>
      <c r="N38" s="184" t="str">
        <f>IF(処理用!BA37&gt;0,処理用!BA37,"")</f>
        <v/>
      </c>
      <c r="O38" s="179" t="str">
        <f>IF((処理用!BB37+処理用!BC37)&gt;0,処理用!BB37+処理用!BC37,"")</f>
        <v/>
      </c>
      <c r="P38" s="180" t="str">
        <f>IF((処理用!BD37+処理用!BE37)&gt;0,処理用!BD37+処理用!BE37,"")</f>
        <v/>
      </c>
      <c r="Q38" s="179" t="str">
        <f>IF(処理用!BF37&gt;0,処理用!BF37,"")</f>
        <v/>
      </c>
      <c r="R38" s="180" t="str">
        <f>IF(処理用!BG37&gt;0,処理用!BG37,"")</f>
        <v/>
      </c>
      <c r="S38" s="179" t="str">
        <f>IF((処理用!BH37+処理用!BI37)&gt;0,処理用!BH37+処理用!BI37,"")</f>
        <v/>
      </c>
      <c r="T38" s="180" t="str">
        <f>IF((処理用!BJ37+処理用!BK37)&gt;0,処理用!BJ37+処理用!BK37,"")</f>
        <v/>
      </c>
      <c r="U38" s="304"/>
      <c r="V38" s="300"/>
      <c r="W38" s="300"/>
      <c r="X38" s="207"/>
      <c r="Y38" s="209"/>
      <c r="Z38" s="331"/>
    </row>
    <row r="39" spans="1:26" ht="17" customHeight="1">
      <c r="A39" s="290"/>
      <c r="B39" s="290"/>
      <c r="C39" s="236"/>
      <c r="D39" s="165"/>
      <c r="E39" s="247" t="s">
        <v>126</v>
      </c>
      <c r="F39" s="166"/>
      <c r="G39" s="253"/>
      <c r="H39" s="247" t="s">
        <v>126</v>
      </c>
      <c r="I39" s="258"/>
      <c r="J39" s="103" t="str">
        <f>IF(処理用!AW38&gt;0,処理用!AW38,"")</f>
        <v/>
      </c>
      <c r="K39" s="182" t="str">
        <f>IF(処理用!AX38&gt;0,処理用!AX38,"")</f>
        <v/>
      </c>
      <c r="L39" s="183" t="str">
        <f>IF(処理用!AY38&gt;0,処理用!AY38,"")</f>
        <v/>
      </c>
      <c r="M39" s="182" t="str">
        <f>IF(処理用!AZ38&gt;0,処理用!AZ38,"")</f>
        <v/>
      </c>
      <c r="N39" s="184" t="str">
        <f>IF(処理用!BA38&gt;0,処理用!BA38,"")</f>
        <v/>
      </c>
      <c r="O39" s="179" t="str">
        <f>IF((処理用!BB38+処理用!BC38)&gt;0,処理用!BB38+処理用!BC38,"")</f>
        <v/>
      </c>
      <c r="P39" s="180" t="str">
        <f>IF((処理用!BD38+処理用!BE38)&gt;0,処理用!BD38+処理用!BE38,"")</f>
        <v/>
      </c>
      <c r="Q39" s="179" t="str">
        <f>IF(処理用!BF38&gt;0,処理用!BF38,"")</f>
        <v/>
      </c>
      <c r="R39" s="180" t="str">
        <f>IF(処理用!BG38&gt;0,処理用!BG38,"")</f>
        <v/>
      </c>
      <c r="S39" s="179" t="str">
        <f>IF((処理用!BH38+処理用!BI38)&gt;0,処理用!BH38+処理用!BI38,"")</f>
        <v/>
      </c>
      <c r="T39" s="180" t="str">
        <f>IF((処理用!BJ38+処理用!BK38)&gt;0,処理用!BJ38+処理用!BK38,"")</f>
        <v/>
      </c>
      <c r="U39" s="304"/>
      <c r="V39" s="301"/>
      <c r="W39" s="301"/>
      <c r="X39" s="210"/>
      <c r="Y39" s="211"/>
      <c r="Z39" s="332"/>
    </row>
    <row r="40" spans="1:26" ht="17" customHeight="1">
      <c r="A40" s="289"/>
      <c r="B40" s="289"/>
      <c r="C40" s="237">
        <f>DATE($D$2,$D$3-1,31)</f>
        <v>46112</v>
      </c>
      <c r="D40" s="167"/>
      <c r="E40" s="248"/>
      <c r="F40" s="168"/>
      <c r="G40" s="254"/>
      <c r="H40" s="248" t="s">
        <v>126</v>
      </c>
      <c r="I40" s="259"/>
      <c r="J40" s="104" t="str">
        <f>IF(処理用!AW39&gt;0,処理用!AW39,"")</f>
        <v/>
      </c>
      <c r="K40" s="185" t="str">
        <f>IF(処理用!AX39&gt;0,処理用!AX39,"")</f>
        <v/>
      </c>
      <c r="L40" s="186" t="str">
        <f>IF(処理用!AY39&gt;0,処理用!AY39,"")</f>
        <v/>
      </c>
      <c r="M40" s="185" t="str">
        <f>IF(処理用!AZ39&gt;0,処理用!AZ39,"")</f>
        <v/>
      </c>
      <c r="N40" s="187" t="str">
        <f>IF(処理用!BA39&gt;0,処理用!BA39,"")</f>
        <v/>
      </c>
      <c r="O40" s="185" t="str">
        <f>IF((処理用!BB39+処理用!BC39)&gt;0,処理用!BB39+処理用!BC39,"")</f>
        <v/>
      </c>
      <c r="P40" s="186" t="str">
        <f>IF((処理用!BD39+処理用!BE39)&gt;0,処理用!BD39+処理用!BE39,"")</f>
        <v/>
      </c>
      <c r="Q40" s="185" t="str">
        <f>IF(処理用!BF39&gt;0,処理用!BF39,"")</f>
        <v/>
      </c>
      <c r="R40" s="186" t="str">
        <f>IF(処理用!BG39&gt;0,処理用!BG39,"")</f>
        <v/>
      </c>
      <c r="S40" s="185" t="str">
        <f>IF((処理用!BH39+処理用!BI39)&gt;0,処理用!BH39+処理用!BI39,"")</f>
        <v/>
      </c>
      <c r="T40" s="186" t="str">
        <f>IF((処理用!BJ39+処理用!BK39)&gt;0,処理用!BJ39+処理用!BK39,"")</f>
        <v/>
      </c>
      <c r="U40" s="303">
        <f>SUM(K40:T42)+U37</f>
        <v>0</v>
      </c>
      <c r="V40" s="300">
        <f>VLOOKUP(C42,勤務形態オプション!$A$17:$C$24,2,FALSE)</f>
        <v>0</v>
      </c>
      <c r="W40" s="300">
        <f>VLOOKUP(C42,勤務形態オプション!$A$17:$C$24,3,FALSE)</f>
        <v>0</v>
      </c>
      <c r="X40" s="212"/>
      <c r="Y40" s="209"/>
      <c r="Z40" s="330"/>
    </row>
    <row r="41" spans="1:26" ht="17" customHeight="1">
      <c r="A41" s="289"/>
      <c r="B41" s="289"/>
      <c r="C41" s="158" t="str">
        <f>IF(C40&lt;&gt;"",TEXT(WEEKDAY(C40,1),"(aaa)"),"")</f>
        <v>(火)</v>
      </c>
      <c r="D41" s="159"/>
      <c r="E41" s="244" t="s">
        <v>126</v>
      </c>
      <c r="F41" s="160"/>
      <c r="G41" s="250"/>
      <c r="H41" s="244" t="s">
        <v>126</v>
      </c>
      <c r="I41" s="255"/>
      <c r="J41" s="103" t="str">
        <f>IF(処理用!AW40&gt;0,処理用!AW40,"")</f>
        <v/>
      </c>
      <c r="K41" s="182" t="str">
        <f>IF(処理用!AX40&gt;0,処理用!AX40,"")</f>
        <v/>
      </c>
      <c r="L41" s="183" t="str">
        <f>IF(処理用!AY40&gt;0,処理用!AY40,"")</f>
        <v/>
      </c>
      <c r="M41" s="182" t="str">
        <f>IF(処理用!AZ40&gt;0,処理用!AZ40,"")</f>
        <v/>
      </c>
      <c r="N41" s="184" t="str">
        <f>IF(処理用!BA40&gt;0,処理用!BA40,"")</f>
        <v/>
      </c>
      <c r="O41" s="179" t="str">
        <f>IF((処理用!BB40+処理用!BC40)&gt;0,処理用!BB40+処理用!BC40,"")</f>
        <v/>
      </c>
      <c r="P41" s="180" t="str">
        <f>IF((処理用!BD40+処理用!BE40)&gt;0,処理用!BD40+処理用!BE40,"")</f>
        <v/>
      </c>
      <c r="Q41" s="179" t="str">
        <f>IF(処理用!BF40&gt;0,処理用!BF40,"")</f>
        <v/>
      </c>
      <c r="R41" s="180" t="str">
        <f>IF(処理用!BG40&gt;0,処理用!BG40,"")</f>
        <v/>
      </c>
      <c r="S41" s="179" t="str">
        <f>IF((処理用!BH40+処理用!BI40)&gt;0,処理用!BH40+処理用!BI40,"")</f>
        <v/>
      </c>
      <c r="T41" s="180" t="str">
        <f>IF((処理用!BJ40+処理用!BK40)&gt;0,処理用!BJ40+処理用!BK40,"")</f>
        <v/>
      </c>
      <c r="U41" s="304"/>
      <c r="V41" s="300"/>
      <c r="W41" s="300"/>
      <c r="X41" s="207"/>
      <c r="Y41" s="209"/>
      <c r="Z41" s="331"/>
    </row>
    <row r="42" spans="1:26" ht="17" customHeight="1">
      <c r="A42" s="290"/>
      <c r="B42" s="290"/>
      <c r="C42" s="236"/>
      <c r="D42" s="161"/>
      <c r="E42" s="245" t="s">
        <v>126</v>
      </c>
      <c r="F42" s="162"/>
      <c r="G42" s="251"/>
      <c r="H42" s="245" t="s">
        <v>126</v>
      </c>
      <c r="I42" s="256"/>
      <c r="J42" s="103" t="str">
        <f>IF(処理用!AW41&gt;0,処理用!AW41,"")</f>
        <v/>
      </c>
      <c r="K42" s="182" t="str">
        <f>IF(処理用!AX41&gt;0,処理用!AX41,"")</f>
        <v/>
      </c>
      <c r="L42" s="183" t="str">
        <f>IF(処理用!AY41&gt;0,処理用!AY41,"")</f>
        <v/>
      </c>
      <c r="M42" s="182" t="str">
        <f>IF(処理用!AZ41&gt;0,処理用!AZ41,"")</f>
        <v/>
      </c>
      <c r="N42" s="184" t="str">
        <f>IF(処理用!BA41&gt;0,処理用!BA41,"")</f>
        <v/>
      </c>
      <c r="O42" s="179" t="str">
        <f>IF((処理用!BB41+処理用!BC41)&gt;0,処理用!BB41+処理用!BC41,"")</f>
        <v/>
      </c>
      <c r="P42" s="180" t="str">
        <f>IF((処理用!BD41+処理用!BE41)&gt;0,処理用!BD41+処理用!BE41,"")</f>
        <v/>
      </c>
      <c r="Q42" s="179" t="str">
        <f>IF(処理用!BF41&gt;0,処理用!BF41,"")</f>
        <v/>
      </c>
      <c r="R42" s="180" t="str">
        <f>IF(処理用!BG41&gt;0,処理用!BG41,"")</f>
        <v/>
      </c>
      <c r="S42" s="179" t="str">
        <f>IF((処理用!BH41+処理用!BI41)&gt;0,処理用!BH41+処理用!BI41,"")</f>
        <v/>
      </c>
      <c r="T42" s="180" t="str">
        <f>IF((処理用!BJ41+処理用!BK41)&gt;0,処理用!BJ41+処理用!BK41,"")</f>
        <v/>
      </c>
      <c r="U42" s="304"/>
      <c r="V42" s="301"/>
      <c r="W42" s="301"/>
      <c r="X42" s="213"/>
      <c r="Y42" s="211"/>
      <c r="Z42" s="332"/>
    </row>
    <row r="43" spans="1:26" ht="17" customHeight="1">
      <c r="A43" s="289"/>
      <c r="B43" s="289"/>
      <c r="C43" s="235">
        <f>DATE($D$2,$D$3-1,32)</f>
        <v>46113</v>
      </c>
      <c r="D43" s="163"/>
      <c r="E43" s="246" t="s">
        <v>126</v>
      </c>
      <c r="F43" s="164"/>
      <c r="G43" s="252"/>
      <c r="H43" s="246" t="s">
        <v>126</v>
      </c>
      <c r="I43" s="257"/>
      <c r="J43" s="104" t="str">
        <f>IF(処理用!AW42&gt;0,処理用!AW42,"")</f>
        <v/>
      </c>
      <c r="K43" s="185" t="str">
        <f>IF(処理用!AX42&gt;0,処理用!AX42,"")</f>
        <v/>
      </c>
      <c r="L43" s="186" t="str">
        <f>IF(処理用!AY42&gt;0,処理用!AY42,"")</f>
        <v/>
      </c>
      <c r="M43" s="185" t="str">
        <f>IF(処理用!AZ42&gt;0,処理用!AZ42,"")</f>
        <v/>
      </c>
      <c r="N43" s="187" t="str">
        <f>IF(処理用!BA42&gt;0,処理用!BA42,"")</f>
        <v/>
      </c>
      <c r="O43" s="185" t="str">
        <f>IF((処理用!BB42+処理用!BC42)&gt;0,処理用!BB42+処理用!BC42,"")</f>
        <v/>
      </c>
      <c r="P43" s="186" t="str">
        <f>IF((処理用!BD42+処理用!BE42)&gt;0,処理用!BD42+処理用!BE42,"")</f>
        <v/>
      </c>
      <c r="Q43" s="185" t="str">
        <f>IF(処理用!BF42&gt;0,処理用!BF42,"")</f>
        <v/>
      </c>
      <c r="R43" s="186" t="str">
        <f>IF(処理用!BG42&gt;0,処理用!BG42,"")</f>
        <v/>
      </c>
      <c r="S43" s="185" t="str">
        <f>IF((処理用!BH42+処理用!BI42)&gt;0,処理用!BH42+処理用!BI42,"")</f>
        <v/>
      </c>
      <c r="T43" s="186" t="str">
        <f>IF((処理用!BJ42+処理用!BK42)&gt;0,処理用!BJ42+処理用!BK42,"")</f>
        <v/>
      </c>
      <c r="U43" s="303">
        <f>SUM(K43:T45)+U40</f>
        <v>0</v>
      </c>
      <c r="V43" s="300">
        <f>VLOOKUP(C45,勤務形態オプション!$A$17:$C$24,2,FALSE)</f>
        <v>0</v>
      </c>
      <c r="W43" s="300">
        <f>VLOOKUP(C45,勤務形態オプション!$A$17:$C$24,3,FALSE)</f>
        <v>0</v>
      </c>
      <c r="X43" s="214"/>
      <c r="Y43" s="209"/>
      <c r="Z43" s="330"/>
    </row>
    <row r="44" spans="1:26" ht="17" customHeight="1">
      <c r="A44" s="289"/>
      <c r="B44" s="289"/>
      <c r="C44" s="158" t="str">
        <f>IF(C43&lt;&gt;"",TEXT(WEEKDAY(C43,1),"(aaa)"),"")</f>
        <v>(水)</v>
      </c>
      <c r="D44" s="159"/>
      <c r="E44" s="244" t="s">
        <v>126</v>
      </c>
      <c r="F44" s="160"/>
      <c r="G44" s="250"/>
      <c r="H44" s="244" t="s">
        <v>126</v>
      </c>
      <c r="I44" s="255"/>
      <c r="J44" s="103" t="str">
        <f>IF(処理用!AW43&gt;0,処理用!AW43,"")</f>
        <v/>
      </c>
      <c r="K44" s="182" t="str">
        <f>IF(処理用!AX43&gt;0,処理用!AX43,"")</f>
        <v/>
      </c>
      <c r="L44" s="183" t="str">
        <f>IF(処理用!AY43&gt;0,処理用!AY43,"")</f>
        <v/>
      </c>
      <c r="M44" s="182" t="str">
        <f>IF(処理用!AZ43&gt;0,処理用!AZ43,"")</f>
        <v/>
      </c>
      <c r="N44" s="184" t="str">
        <f>IF(処理用!BA43&gt;0,処理用!BA43,"")</f>
        <v/>
      </c>
      <c r="O44" s="179" t="str">
        <f>IF((処理用!BB43+処理用!BC43)&gt;0,処理用!BB43+処理用!BC43,"")</f>
        <v/>
      </c>
      <c r="P44" s="180" t="str">
        <f>IF((処理用!BD43+処理用!BE43)&gt;0,処理用!BD43+処理用!BE43,"")</f>
        <v/>
      </c>
      <c r="Q44" s="179" t="str">
        <f>IF(処理用!BF43&gt;0,処理用!BF43,"")</f>
        <v/>
      </c>
      <c r="R44" s="180" t="str">
        <f>IF(処理用!BG43&gt;0,処理用!BG43,"")</f>
        <v/>
      </c>
      <c r="S44" s="179" t="str">
        <f>IF((処理用!BH43+処理用!BI43)&gt;0,処理用!BH43+処理用!BI43,"")</f>
        <v/>
      </c>
      <c r="T44" s="180" t="str">
        <f>IF((処理用!BJ43+処理用!BK43)&gt;0,処理用!BJ43+処理用!BK43,"")</f>
        <v/>
      </c>
      <c r="U44" s="304"/>
      <c r="V44" s="300"/>
      <c r="W44" s="300"/>
      <c r="X44" s="207"/>
      <c r="Y44" s="209"/>
      <c r="Z44" s="331"/>
    </row>
    <row r="45" spans="1:26" ht="17" customHeight="1">
      <c r="A45" s="290"/>
      <c r="B45" s="290"/>
      <c r="C45" s="236"/>
      <c r="D45" s="165"/>
      <c r="E45" s="247" t="s">
        <v>126</v>
      </c>
      <c r="F45" s="166"/>
      <c r="G45" s="253"/>
      <c r="H45" s="247" t="s">
        <v>126</v>
      </c>
      <c r="I45" s="258"/>
      <c r="J45" s="103" t="str">
        <f>IF(処理用!AW44&gt;0,処理用!AW44,"")</f>
        <v/>
      </c>
      <c r="K45" s="182" t="str">
        <f>IF(処理用!AX44&gt;0,処理用!AX44,"")</f>
        <v/>
      </c>
      <c r="L45" s="183" t="str">
        <f>IF(処理用!AY44&gt;0,処理用!AY44,"")</f>
        <v/>
      </c>
      <c r="M45" s="182" t="str">
        <f>IF(処理用!AZ44&gt;0,処理用!AZ44,"")</f>
        <v/>
      </c>
      <c r="N45" s="184" t="str">
        <f>IF(処理用!BA44&gt;0,処理用!BA44,"")</f>
        <v/>
      </c>
      <c r="O45" s="179" t="str">
        <f>IF((処理用!BB44+処理用!BC44)&gt;0,処理用!BB44+処理用!BC44,"")</f>
        <v/>
      </c>
      <c r="P45" s="180" t="str">
        <f>IF((処理用!BD44+処理用!BE44)&gt;0,処理用!BD44+処理用!BE44,"")</f>
        <v/>
      </c>
      <c r="Q45" s="179" t="str">
        <f>IF(処理用!BF44&gt;0,処理用!BF44,"")</f>
        <v/>
      </c>
      <c r="R45" s="180" t="str">
        <f>IF(処理用!BG44&gt;0,処理用!BG44,"")</f>
        <v/>
      </c>
      <c r="S45" s="179" t="str">
        <f>IF((処理用!BH44+処理用!BI44)&gt;0,処理用!BH44+処理用!BI44,"")</f>
        <v/>
      </c>
      <c r="T45" s="180" t="str">
        <f>IF((処理用!BJ44+処理用!BK44)&gt;0,処理用!BJ44+処理用!BK44,"")</f>
        <v/>
      </c>
      <c r="U45" s="304"/>
      <c r="V45" s="301"/>
      <c r="W45" s="301"/>
      <c r="X45" s="210"/>
      <c r="Y45" s="211"/>
      <c r="Z45" s="332"/>
    </row>
    <row r="46" spans="1:26" ht="17" customHeight="1">
      <c r="A46" s="289"/>
      <c r="B46" s="289"/>
      <c r="C46" s="237">
        <f>DATE($D$2,$D$3-1,33)</f>
        <v>46114</v>
      </c>
      <c r="D46" s="167"/>
      <c r="E46" s="248" t="s">
        <v>126</v>
      </c>
      <c r="F46" s="168"/>
      <c r="G46" s="254"/>
      <c r="H46" s="248" t="s">
        <v>126</v>
      </c>
      <c r="I46" s="259"/>
      <c r="J46" s="104" t="str">
        <f>IF(処理用!AW45&gt;0,処理用!AW45,"")</f>
        <v/>
      </c>
      <c r="K46" s="185" t="str">
        <f>IF(処理用!AX45&gt;0,処理用!AX45,"")</f>
        <v/>
      </c>
      <c r="L46" s="186" t="str">
        <f>IF(処理用!AY45&gt;0,処理用!AY45,"")</f>
        <v/>
      </c>
      <c r="M46" s="185" t="str">
        <f>IF(処理用!AZ45&gt;0,処理用!AZ45,"")</f>
        <v/>
      </c>
      <c r="N46" s="187" t="str">
        <f>IF(処理用!BA45&gt;0,処理用!BA45,"")</f>
        <v/>
      </c>
      <c r="O46" s="185" t="str">
        <f>IF((処理用!BB45+処理用!BC45)&gt;0,処理用!BB45+処理用!BC45,"")</f>
        <v/>
      </c>
      <c r="P46" s="186" t="str">
        <f>IF((処理用!BD45+処理用!BE45)&gt;0,処理用!BD45+処理用!BE45,"")</f>
        <v/>
      </c>
      <c r="Q46" s="185" t="str">
        <f>IF(処理用!BF45&gt;0,処理用!BF45,"")</f>
        <v/>
      </c>
      <c r="R46" s="186" t="str">
        <f>IF(処理用!BG45&gt;0,処理用!BG45,"")</f>
        <v/>
      </c>
      <c r="S46" s="185" t="str">
        <f>IF((処理用!BH45+処理用!BI45)&gt;0,処理用!BH45+処理用!BI45,"")</f>
        <v/>
      </c>
      <c r="T46" s="186" t="str">
        <f>IF((処理用!BJ45+処理用!BK45)&gt;0,処理用!BJ45+処理用!BK45,"")</f>
        <v/>
      </c>
      <c r="U46" s="303">
        <f>SUM(K46:T48)+U43</f>
        <v>0</v>
      </c>
      <c r="V46" s="300">
        <f>VLOOKUP(C48,勤務形態オプション!$A$17:$C$24,2,FALSE)</f>
        <v>0</v>
      </c>
      <c r="W46" s="300">
        <f>VLOOKUP(C48,勤務形態オプション!$A$17:$C$24,3,FALSE)</f>
        <v>0</v>
      </c>
      <c r="X46" s="212"/>
      <c r="Y46" s="209"/>
      <c r="Z46" s="330"/>
    </row>
    <row r="47" spans="1:26" ht="17" customHeight="1">
      <c r="A47" s="289"/>
      <c r="B47" s="289"/>
      <c r="C47" s="158" t="str">
        <f>IF(C46&lt;&gt;"",TEXT(WEEKDAY(C46,1),"(aaa)"),"")</f>
        <v>(木)</v>
      </c>
      <c r="D47" s="159"/>
      <c r="E47" s="244" t="s">
        <v>126</v>
      </c>
      <c r="F47" s="160"/>
      <c r="G47" s="250"/>
      <c r="H47" s="244" t="s">
        <v>126</v>
      </c>
      <c r="I47" s="255"/>
      <c r="J47" s="103" t="str">
        <f>IF(処理用!AW46&gt;0,処理用!AW46,"")</f>
        <v/>
      </c>
      <c r="K47" s="182" t="str">
        <f>IF(処理用!AX46&gt;0,処理用!AX46,"")</f>
        <v/>
      </c>
      <c r="L47" s="183" t="str">
        <f>IF(処理用!AY46&gt;0,処理用!AY46,"")</f>
        <v/>
      </c>
      <c r="M47" s="182" t="str">
        <f>IF(処理用!AZ46&gt;0,処理用!AZ46,"")</f>
        <v/>
      </c>
      <c r="N47" s="184" t="str">
        <f>IF(処理用!BA46&gt;0,処理用!BA46,"")</f>
        <v/>
      </c>
      <c r="O47" s="179" t="str">
        <f>IF((処理用!BB46+処理用!BC46)&gt;0,処理用!BB46+処理用!BC46,"")</f>
        <v/>
      </c>
      <c r="P47" s="180" t="str">
        <f>IF((処理用!BD46+処理用!BE46)&gt;0,処理用!BD46+処理用!BE46,"")</f>
        <v/>
      </c>
      <c r="Q47" s="179" t="str">
        <f>IF(処理用!BF46&gt;0,処理用!BF46,"")</f>
        <v/>
      </c>
      <c r="R47" s="180" t="str">
        <f>IF(処理用!BG46&gt;0,処理用!BG46,"")</f>
        <v/>
      </c>
      <c r="S47" s="179" t="str">
        <f>IF((処理用!BH46+処理用!BI46)&gt;0,処理用!BH46+処理用!BI46,"")</f>
        <v/>
      </c>
      <c r="T47" s="180" t="str">
        <f>IF((処理用!BJ46+処理用!BK46)&gt;0,処理用!BJ46+処理用!BK46,"")</f>
        <v/>
      </c>
      <c r="U47" s="304"/>
      <c r="V47" s="300"/>
      <c r="W47" s="300"/>
      <c r="X47" s="207"/>
      <c r="Y47" s="209"/>
      <c r="Z47" s="331"/>
    </row>
    <row r="48" spans="1:26" ht="17" customHeight="1">
      <c r="A48" s="290"/>
      <c r="B48" s="290"/>
      <c r="C48" s="236"/>
      <c r="D48" s="161"/>
      <c r="E48" s="245" t="s">
        <v>126</v>
      </c>
      <c r="F48" s="162"/>
      <c r="G48" s="251"/>
      <c r="H48" s="245" t="s">
        <v>126</v>
      </c>
      <c r="I48" s="256"/>
      <c r="J48" s="103" t="str">
        <f>IF(処理用!AW47&gt;0,処理用!AW47,"")</f>
        <v/>
      </c>
      <c r="K48" s="182" t="str">
        <f>IF(処理用!AX47&gt;0,処理用!AX47,"")</f>
        <v/>
      </c>
      <c r="L48" s="183" t="str">
        <f>IF(処理用!AY47&gt;0,処理用!AY47,"")</f>
        <v/>
      </c>
      <c r="M48" s="182" t="str">
        <f>IF(処理用!AZ47&gt;0,処理用!AZ47,"")</f>
        <v/>
      </c>
      <c r="N48" s="184" t="str">
        <f>IF(処理用!BA47&gt;0,処理用!BA47,"")</f>
        <v/>
      </c>
      <c r="O48" s="179" t="str">
        <f>IF((処理用!BB47+処理用!BC47)&gt;0,処理用!BB47+処理用!BC47,"")</f>
        <v/>
      </c>
      <c r="P48" s="180" t="str">
        <f>IF((処理用!BD47+処理用!BE47)&gt;0,処理用!BD47+処理用!BE47,"")</f>
        <v/>
      </c>
      <c r="Q48" s="179" t="str">
        <f>IF(処理用!BF47&gt;0,処理用!BF47,"")</f>
        <v/>
      </c>
      <c r="R48" s="180" t="str">
        <f>IF(処理用!BG47&gt;0,処理用!BG47,"")</f>
        <v/>
      </c>
      <c r="S48" s="179" t="str">
        <f>IF((処理用!BH47+処理用!BI47)&gt;0,処理用!BH47+処理用!BI47,"")</f>
        <v/>
      </c>
      <c r="T48" s="180" t="str">
        <f>IF((処理用!BJ47+処理用!BK47)&gt;0,処理用!BJ47+処理用!BK47,"")</f>
        <v/>
      </c>
      <c r="U48" s="304"/>
      <c r="V48" s="301"/>
      <c r="W48" s="301"/>
      <c r="X48" s="213"/>
      <c r="Y48" s="211"/>
      <c r="Z48" s="332"/>
    </row>
    <row r="49" spans="1:26" ht="17" customHeight="1">
      <c r="A49" s="289"/>
      <c r="B49" s="289"/>
      <c r="C49" s="235">
        <f>DATE($D$2,$D$3-1,34)</f>
        <v>46115</v>
      </c>
      <c r="D49" s="163"/>
      <c r="E49" s="246" t="s">
        <v>126</v>
      </c>
      <c r="F49" s="164"/>
      <c r="G49" s="252"/>
      <c r="H49" s="246" t="s">
        <v>126</v>
      </c>
      <c r="I49" s="257"/>
      <c r="J49" s="104" t="str">
        <f>IF(処理用!AW48&gt;0,処理用!AW48,"")</f>
        <v/>
      </c>
      <c r="K49" s="185" t="str">
        <f>IF(処理用!AX48&gt;0,処理用!AX48,"")</f>
        <v/>
      </c>
      <c r="L49" s="186" t="str">
        <f>IF(処理用!AY48&gt;0,処理用!AY48,"")</f>
        <v/>
      </c>
      <c r="M49" s="185" t="str">
        <f>IF(処理用!AZ48&gt;0,処理用!AZ48,"")</f>
        <v/>
      </c>
      <c r="N49" s="187" t="str">
        <f>IF(処理用!BA48&gt;0,処理用!BA48,"")</f>
        <v/>
      </c>
      <c r="O49" s="185" t="str">
        <f>IF((処理用!BB48+処理用!BC48)&gt;0,処理用!BB48+処理用!BC48,"")</f>
        <v/>
      </c>
      <c r="P49" s="186" t="str">
        <f>IF((処理用!BD48+処理用!BE48)&gt;0,処理用!BD48+処理用!BE48,"")</f>
        <v/>
      </c>
      <c r="Q49" s="185" t="str">
        <f>IF(処理用!BF48&gt;0,処理用!BF48,"")</f>
        <v/>
      </c>
      <c r="R49" s="186" t="str">
        <f>IF(処理用!BG48&gt;0,処理用!BG48,"")</f>
        <v/>
      </c>
      <c r="S49" s="185" t="str">
        <f>IF((処理用!BH48+処理用!BI48)&gt;0,処理用!BH48+処理用!BI48,"")</f>
        <v/>
      </c>
      <c r="T49" s="186" t="str">
        <f>IF((処理用!BJ48+処理用!BK48)&gt;0,処理用!BJ48+処理用!BK48,"")</f>
        <v/>
      </c>
      <c r="U49" s="303">
        <f>SUM(K49:T51)+U46</f>
        <v>0</v>
      </c>
      <c r="V49" s="300">
        <f>VLOOKUP(C51,勤務形態オプション!$A$17:$C$24,2,FALSE)</f>
        <v>0</v>
      </c>
      <c r="W49" s="300">
        <f>VLOOKUP(C51,勤務形態オプション!$A$17:$C$24,3,FALSE)</f>
        <v>0</v>
      </c>
      <c r="X49" s="214"/>
      <c r="Y49" s="209"/>
      <c r="Z49" s="330"/>
    </row>
    <row r="50" spans="1:26" ht="17" customHeight="1">
      <c r="A50" s="289"/>
      <c r="B50" s="289"/>
      <c r="C50" s="158" t="str">
        <f>IF(C49&lt;&gt;"",TEXT(WEEKDAY(C49,1),"(aaa)"),"")</f>
        <v>(金)</v>
      </c>
      <c r="D50" s="159"/>
      <c r="E50" s="244" t="s">
        <v>126</v>
      </c>
      <c r="F50" s="160"/>
      <c r="G50" s="250"/>
      <c r="H50" s="244" t="s">
        <v>126</v>
      </c>
      <c r="I50" s="255"/>
      <c r="J50" s="103" t="str">
        <f>IF(処理用!AW49&gt;0,処理用!AW49,"")</f>
        <v/>
      </c>
      <c r="K50" s="182" t="str">
        <f>IF(処理用!AX49&gt;0,処理用!AX49,"")</f>
        <v/>
      </c>
      <c r="L50" s="183" t="str">
        <f>IF(処理用!AY49&gt;0,処理用!AY49,"")</f>
        <v/>
      </c>
      <c r="M50" s="182" t="str">
        <f>IF(処理用!AZ49&gt;0,処理用!AZ49,"")</f>
        <v/>
      </c>
      <c r="N50" s="184" t="str">
        <f>IF(処理用!BA49&gt;0,処理用!BA49,"")</f>
        <v/>
      </c>
      <c r="O50" s="179" t="str">
        <f>IF((処理用!BB49+処理用!BC49)&gt;0,処理用!BB49+処理用!BC49,"")</f>
        <v/>
      </c>
      <c r="P50" s="180" t="str">
        <f>IF((処理用!BD49+処理用!BE49)&gt;0,処理用!BD49+処理用!BE49,"")</f>
        <v/>
      </c>
      <c r="Q50" s="179" t="str">
        <f>IF(処理用!BF49&gt;0,処理用!BF49,"")</f>
        <v/>
      </c>
      <c r="R50" s="180" t="str">
        <f>IF(処理用!BG49&gt;0,処理用!BG49,"")</f>
        <v/>
      </c>
      <c r="S50" s="179" t="str">
        <f>IF((処理用!BH49+処理用!BI49)&gt;0,処理用!BH49+処理用!BI49,"")</f>
        <v/>
      </c>
      <c r="T50" s="180" t="str">
        <f>IF((処理用!BJ49+処理用!BK49)&gt;0,処理用!BJ49+処理用!BK49,"")</f>
        <v/>
      </c>
      <c r="U50" s="304"/>
      <c r="V50" s="300"/>
      <c r="W50" s="300"/>
      <c r="X50" s="207"/>
      <c r="Y50" s="209"/>
      <c r="Z50" s="331"/>
    </row>
    <row r="51" spans="1:26" ht="17" customHeight="1">
      <c r="A51" s="290"/>
      <c r="B51" s="290"/>
      <c r="C51" s="236"/>
      <c r="D51" s="165"/>
      <c r="E51" s="247" t="s">
        <v>126</v>
      </c>
      <c r="F51" s="166"/>
      <c r="G51" s="253"/>
      <c r="H51" s="247" t="s">
        <v>126</v>
      </c>
      <c r="I51" s="258"/>
      <c r="J51" s="103" t="str">
        <f>IF(処理用!AW50&gt;0,処理用!AW50,"")</f>
        <v/>
      </c>
      <c r="K51" s="182" t="str">
        <f>IF(処理用!AX50&gt;0,処理用!AX50,"")</f>
        <v/>
      </c>
      <c r="L51" s="183" t="str">
        <f>IF(処理用!AY50&gt;0,処理用!AY50,"")</f>
        <v/>
      </c>
      <c r="M51" s="182" t="str">
        <f>IF(処理用!AZ50&gt;0,処理用!AZ50,"")</f>
        <v/>
      </c>
      <c r="N51" s="184" t="str">
        <f>IF(処理用!BA50&gt;0,処理用!BA50,"")</f>
        <v/>
      </c>
      <c r="O51" s="179" t="str">
        <f>IF((処理用!BB50+処理用!BC50)&gt;0,処理用!BB50+処理用!BC50,"")</f>
        <v/>
      </c>
      <c r="P51" s="180" t="str">
        <f>IF((処理用!BD50+処理用!BE50)&gt;0,処理用!BD50+処理用!BE50,"")</f>
        <v/>
      </c>
      <c r="Q51" s="179" t="str">
        <f>IF(処理用!BF50&gt;0,処理用!BF50,"")</f>
        <v/>
      </c>
      <c r="R51" s="180" t="str">
        <f>IF(処理用!BG50&gt;0,処理用!BG50,"")</f>
        <v/>
      </c>
      <c r="S51" s="179" t="str">
        <f>IF((処理用!BH50+処理用!BI50)&gt;0,処理用!BH50+処理用!BI50,"")</f>
        <v/>
      </c>
      <c r="T51" s="180" t="str">
        <f>IF((処理用!BJ50+処理用!BK50)&gt;0,処理用!BJ50+処理用!BK50,"")</f>
        <v/>
      </c>
      <c r="U51" s="304"/>
      <c r="V51" s="301"/>
      <c r="W51" s="301"/>
      <c r="X51" s="210"/>
      <c r="Y51" s="211"/>
      <c r="Z51" s="332"/>
    </row>
    <row r="52" spans="1:26" ht="17" customHeight="1">
      <c r="A52" s="289"/>
      <c r="B52" s="289"/>
      <c r="C52" s="237">
        <f>DATE($D$2,$D$3-1,35)</f>
        <v>46116</v>
      </c>
      <c r="D52" s="167"/>
      <c r="E52" s="248" t="s">
        <v>126</v>
      </c>
      <c r="F52" s="168"/>
      <c r="G52" s="254"/>
      <c r="H52" s="248" t="s">
        <v>126</v>
      </c>
      <c r="I52" s="259"/>
      <c r="J52" s="104" t="str">
        <f>IF(処理用!AW51&gt;0,処理用!AW51,"")</f>
        <v/>
      </c>
      <c r="K52" s="185" t="str">
        <f>IF(処理用!AX51&gt;0,処理用!AX51,"")</f>
        <v/>
      </c>
      <c r="L52" s="186" t="str">
        <f>IF(処理用!AY51&gt;0,処理用!AY51,"")</f>
        <v/>
      </c>
      <c r="M52" s="185" t="str">
        <f>IF(処理用!AZ51&gt;0,処理用!AZ51,"")</f>
        <v/>
      </c>
      <c r="N52" s="187" t="str">
        <f>IF(処理用!BA51&gt;0,処理用!BA51,"")</f>
        <v/>
      </c>
      <c r="O52" s="185" t="str">
        <f>IF((処理用!BB51+処理用!BC51)&gt;0,処理用!BB51+処理用!BC51,"")</f>
        <v/>
      </c>
      <c r="P52" s="186" t="str">
        <f>IF((処理用!BD51+処理用!BE51)&gt;0,処理用!BD51+処理用!BE51,"")</f>
        <v/>
      </c>
      <c r="Q52" s="185" t="str">
        <f>IF(処理用!BF51&gt;0,処理用!BF51,"")</f>
        <v/>
      </c>
      <c r="R52" s="186" t="str">
        <f>IF(処理用!BG51&gt;0,処理用!BG51,"")</f>
        <v/>
      </c>
      <c r="S52" s="185" t="str">
        <f>IF((処理用!BH51+処理用!BI51)&gt;0,処理用!BH51+処理用!BI51,"")</f>
        <v/>
      </c>
      <c r="T52" s="186" t="str">
        <f>IF((処理用!BJ51+処理用!BK51)&gt;0,処理用!BJ51+処理用!BK51,"")</f>
        <v/>
      </c>
      <c r="U52" s="303">
        <f>SUM(K52:T54)+U49</f>
        <v>0</v>
      </c>
      <c r="V52" s="300">
        <f>VLOOKUP(C54,勤務形態オプション!$A$17:$C$24,2,FALSE)</f>
        <v>0</v>
      </c>
      <c r="W52" s="300">
        <f>VLOOKUP(C54,勤務形態オプション!$A$17:$C$24,3,FALSE)</f>
        <v>0</v>
      </c>
      <c r="X52" s="212"/>
      <c r="Y52" s="209"/>
      <c r="Z52" s="330"/>
    </row>
    <row r="53" spans="1:26" ht="17" customHeight="1">
      <c r="A53" s="289"/>
      <c r="B53" s="289"/>
      <c r="C53" s="158" t="str">
        <f>IF(C52&lt;&gt;"",TEXT(WEEKDAY(C52,1),"(aaa)"),"")</f>
        <v>(土)</v>
      </c>
      <c r="D53" s="159"/>
      <c r="E53" s="244" t="s">
        <v>126</v>
      </c>
      <c r="F53" s="160"/>
      <c r="G53" s="250"/>
      <c r="H53" s="244" t="s">
        <v>126</v>
      </c>
      <c r="I53" s="255"/>
      <c r="J53" s="103" t="str">
        <f>IF(処理用!AW52&gt;0,処理用!AW52,"")</f>
        <v/>
      </c>
      <c r="K53" s="182" t="str">
        <f>IF(処理用!AX52&gt;0,処理用!AX52,"")</f>
        <v/>
      </c>
      <c r="L53" s="183" t="str">
        <f>IF(処理用!AY52&gt;0,処理用!AY52,"")</f>
        <v/>
      </c>
      <c r="M53" s="182" t="str">
        <f>IF(処理用!AZ52&gt;0,処理用!AZ52,"")</f>
        <v/>
      </c>
      <c r="N53" s="184" t="str">
        <f>IF(処理用!BA52&gt;0,処理用!BA52,"")</f>
        <v/>
      </c>
      <c r="O53" s="179" t="str">
        <f>IF((処理用!BB52+処理用!BC52)&gt;0,処理用!BB52+処理用!BC52,"")</f>
        <v/>
      </c>
      <c r="P53" s="180" t="str">
        <f>IF((処理用!BD52+処理用!BE52)&gt;0,処理用!BD52+処理用!BE52,"")</f>
        <v/>
      </c>
      <c r="Q53" s="179" t="str">
        <f>IF(処理用!BF52&gt;0,処理用!BF52,"")</f>
        <v/>
      </c>
      <c r="R53" s="180" t="str">
        <f>IF(処理用!BG52&gt;0,処理用!BG52,"")</f>
        <v/>
      </c>
      <c r="S53" s="179" t="str">
        <f>IF((処理用!BH52+処理用!BI52)&gt;0,処理用!BH52+処理用!BI52,"")</f>
        <v/>
      </c>
      <c r="T53" s="180" t="str">
        <f>IF((処理用!BJ52+処理用!BK52)&gt;0,処理用!BJ52+処理用!BK52,"")</f>
        <v/>
      </c>
      <c r="U53" s="304"/>
      <c r="V53" s="300"/>
      <c r="W53" s="300"/>
      <c r="X53" s="207"/>
      <c r="Y53" s="209"/>
      <c r="Z53" s="331"/>
    </row>
    <row r="54" spans="1:26" ht="17" customHeight="1">
      <c r="A54" s="290"/>
      <c r="B54" s="290"/>
      <c r="C54" s="236"/>
      <c r="D54" s="161"/>
      <c r="E54" s="245" t="s">
        <v>126</v>
      </c>
      <c r="F54" s="162"/>
      <c r="G54" s="251"/>
      <c r="H54" s="245" t="s">
        <v>126</v>
      </c>
      <c r="I54" s="256"/>
      <c r="J54" s="103" t="str">
        <f>IF(処理用!AW53&gt;0,処理用!AW53,"")</f>
        <v/>
      </c>
      <c r="K54" s="182" t="str">
        <f>IF(処理用!AX53&gt;0,処理用!AX53,"")</f>
        <v/>
      </c>
      <c r="L54" s="183" t="str">
        <f>IF(処理用!AY53&gt;0,処理用!AY53,"")</f>
        <v/>
      </c>
      <c r="M54" s="182" t="str">
        <f>IF(処理用!AZ53&gt;0,処理用!AZ53,"")</f>
        <v/>
      </c>
      <c r="N54" s="184" t="str">
        <f>IF(処理用!BA53&gt;0,処理用!BA53,"")</f>
        <v/>
      </c>
      <c r="O54" s="179" t="str">
        <f>IF((処理用!BB53+処理用!BC53)&gt;0,処理用!BB53+処理用!BC53,"")</f>
        <v/>
      </c>
      <c r="P54" s="180" t="str">
        <f>IF((処理用!BD53+処理用!BE53)&gt;0,処理用!BD53+処理用!BE53,"")</f>
        <v/>
      </c>
      <c r="Q54" s="179" t="str">
        <f>IF(処理用!BF53&gt;0,処理用!BF53,"")</f>
        <v/>
      </c>
      <c r="R54" s="180" t="str">
        <f>IF(処理用!BG53&gt;0,処理用!BG53,"")</f>
        <v/>
      </c>
      <c r="S54" s="179" t="str">
        <f>IF((処理用!BH53+処理用!BI53)&gt;0,処理用!BH53+処理用!BI53,"")</f>
        <v/>
      </c>
      <c r="T54" s="180" t="str">
        <f>IF((処理用!BJ53+処理用!BK53)&gt;0,処理用!BJ53+処理用!BK53,"")</f>
        <v/>
      </c>
      <c r="U54" s="304"/>
      <c r="V54" s="301"/>
      <c r="W54" s="301"/>
      <c r="X54" s="213"/>
      <c r="Y54" s="211"/>
      <c r="Z54" s="332"/>
    </row>
    <row r="55" spans="1:26" ht="17" customHeight="1">
      <c r="A55" s="289"/>
      <c r="B55" s="289"/>
      <c r="C55" s="235">
        <f>DATE($D$2,$D$3-1,36)</f>
        <v>46117</v>
      </c>
      <c r="D55" s="163"/>
      <c r="E55" s="246" t="s">
        <v>126</v>
      </c>
      <c r="F55" s="164"/>
      <c r="G55" s="252"/>
      <c r="H55" s="246" t="s">
        <v>126</v>
      </c>
      <c r="I55" s="257"/>
      <c r="J55" s="104" t="str">
        <f>IF(処理用!AW54&gt;0,処理用!AW54,"")</f>
        <v/>
      </c>
      <c r="K55" s="185" t="str">
        <f>IF(処理用!AX54&gt;0,処理用!AX54,"")</f>
        <v/>
      </c>
      <c r="L55" s="186" t="str">
        <f>IF(処理用!AY54&gt;0,処理用!AY54,"")</f>
        <v/>
      </c>
      <c r="M55" s="185" t="str">
        <f>IF(処理用!AZ54&gt;0,処理用!AZ54,"")</f>
        <v/>
      </c>
      <c r="N55" s="187" t="str">
        <f>IF(処理用!BA54&gt;0,処理用!BA54,"")</f>
        <v/>
      </c>
      <c r="O55" s="185" t="str">
        <f>IF((処理用!BB54+処理用!BC54)&gt;0,処理用!BB54+処理用!BC54,"")</f>
        <v/>
      </c>
      <c r="P55" s="186" t="str">
        <f>IF((処理用!BD54+処理用!BE54)&gt;0,処理用!BD54+処理用!BE54,"")</f>
        <v/>
      </c>
      <c r="Q55" s="185" t="str">
        <f>IF(処理用!BF54&gt;0,処理用!BF54,"")</f>
        <v/>
      </c>
      <c r="R55" s="186" t="str">
        <f>IF(処理用!BG54&gt;0,処理用!BG54,"")</f>
        <v/>
      </c>
      <c r="S55" s="185" t="str">
        <f>IF((処理用!BH54+処理用!BI54)&gt;0,処理用!BH54+処理用!BI54,"")</f>
        <v/>
      </c>
      <c r="T55" s="186" t="str">
        <f>IF((処理用!BJ54+処理用!BK54)&gt;0,処理用!BJ54+処理用!BK54,"")</f>
        <v/>
      </c>
      <c r="U55" s="303">
        <f>SUM(K55:T57)+U52</f>
        <v>0</v>
      </c>
      <c r="V55" s="300">
        <f>VLOOKUP(C57,勤務形態オプション!$A$17:$C$24,2,FALSE)</f>
        <v>0</v>
      </c>
      <c r="W55" s="300">
        <f>VLOOKUP(C57,勤務形態オプション!$A$17:$C$24,3,FALSE)</f>
        <v>0</v>
      </c>
      <c r="X55" s="214"/>
      <c r="Y55" s="209"/>
      <c r="Z55" s="330"/>
    </row>
    <row r="56" spans="1:26" ht="17" customHeight="1">
      <c r="A56" s="289"/>
      <c r="B56" s="289"/>
      <c r="C56" s="158" t="str">
        <f>IF(C55&lt;&gt;"",TEXT(WEEKDAY(C55,1),"(aaa)"),"")</f>
        <v>(日)</v>
      </c>
      <c r="D56" s="159"/>
      <c r="E56" s="244" t="s">
        <v>126</v>
      </c>
      <c r="F56" s="160"/>
      <c r="G56" s="250"/>
      <c r="H56" s="244" t="s">
        <v>126</v>
      </c>
      <c r="I56" s="255"/>
      <c r="J56" s="103" t="str">
        <f>IF(処理用!AW55&gt;0,処理用!AW55,"")</f>
        <v/>
      </c>
      <c r="K56" s="182" t="str">
        <f>IF(処理用!AX55&gt;0,処理用!AX55,"")</f>
        <v/>
      </c>
      <c r="L56" s="183" t="str">
        <f>IF(処理用!AY55&gt;0,処理用!AY55,"")</f>
        <v/>
      </c>
      <c r="M56" s="182" t="str">
        <f>IF(処理用!AZ55&gt;0,処理用!AZ55,"")</f>
        <v/>
      </c>
      <c r="N56" s="184" t="str">
        <f>IF(処理用!BA55&gt;0,処理用!BA55,"")</f>
        <v/>
      </c>
      <c r="O56" s="179" t="str">
        <f>IF((処理用!BB55+処理用!BC55)&gt;0,処理用!BB55+処理用!BC55,"")</f>
        <v/>
      </c>
      <c r="P56" s="180" t="str">
        <f>IF((処理用!BD55+処理用!BE55)&gt;0,処理用!BD55+処理用!BE55,"")</f>
        <v/>
      </c>
      <c r="Q56" s="179" t="str">
        <f>IF(処理用!BF55&gt;0,処理用!BF55,"")</f>
        <v/>
      </c>
      <c r="R56" s="180" t="str">
        <f>IF(処理用!BG55&gt;0,処理用!BG55,"")</f>
        <v/>
      </c>
      <c r="S56" s="179" t="str">
        <f>IF((処理用!BH55+処理用!BI55)&gt;0,処理用!BH55+処理用!BI55,"")</f>
        <v/>
      </c>
      <c r="T56" s="180" t="str">
        <f>IF((処理用!BJ55+処理用!BK55)&gt;0,処理用!BJ55+処理用!BK55,"")</f>
        <v/>
      </c>
      <c r="U56" s="304"/>
      <c r="V56" s="300"/>
      <c r="W56" s="300"/>
      <c r="X56" s="207"/>
      <c r="Y56" s="209"/>
      <c r="Z56" s="331"/>
    </row>
    <row r="57" spans="1:26" ht="17" customHeight="1">
      <c r="A57" s="290"/>
      <c r="B57" s="290"/>
      <c r="C57" s="236"/>
      <c r="D57" s="165"/>
      <c r="E57" s="247" t="s">
        <v>126</v>
      </c>
      <c r="F57" s="166"/>
      <c r="G57" s="253"/>
      <c r="H57" s="247" t="s">
        <v>126</v>
      </c>
      <c r="I57" s="258"/>
      <c r="J57" s="103" t="str">
        <f>IF(処理用!AW56&gt;0,処理用!AW56,"")</f>
        <v/>
      </c>
      <c r="K57" s="182" t="str">
        <f>IF(処理用!AX56&gt;0,処理用!AX56,"")</f>
        <v/>
      </c>
      <c r="L57" s="183" t="str">
        <f>IF(処理用!AY56&gt;0,処理用!AY56,"")</f>
        <v/>
      </c>
      <c r="M57" s="182" t="str">
        <f>IF(処理用!AZ56&gt;0,処理用!AZ56,"")</f>
        <v/>
      </c>
      <c r="N57" s="184" t="str">
        <f>IF(処理用!BA56&gt;0,処理用!BA56,"")</f>
        <v/>
      </c>
      <c r="O57" s="179" t="str">
        <f>IF((処理用!BB56+処理用!BC56)&gt;0,処理用!BB56+処理用!BC56,"")</f>
        <v/>
      </c>
      <c r="P57" s="180" t="str">
        <f>IF((処理用!BD56+処理用!BE56)&gt;0,処理用!BD56+処理用!BE56,"")</f>
        <v/>
      </c>
      <c r="Q57" s="179" t="str">
        <f>IF(処理用!BF56&gt;0,処理用!BF56,"")</f>
        <v/>
      </c>
      <c r="R57" s="180" t="str">
        <f>IF(処理用!BG56&gt;0,処理用!BG56,"")</f>
        <v/>
      </c>
      <c r="S57" s="179" t="str">
        <f>IF((処理用!BH56+処理用!BI56)&gt;0,処理用!BH56+処理用!BI56,"")</f>
        <v/>
      </c>
      <c r="T57" s="180" t="str">
        <f>IF((処理用!BJ56+処理用!BK56)&gt;0,処理用!BJ56+処理用!BK56,"")</f>
        <v/>
      </c>
      <c r="U57" s="304"/>
      <c r="V57" s="301"/>
      <c r="W57" s="301"/>
      <c r="X57" s="210"/>
      <c r="Y57" s="211"/>
      <c r="Z57" s="332"/>
    </row>
    <row r="58" spans="1:26" ht="17" customHeight="1">
      <c r="A58" s="289"/>
      <c r="B58" s="289"/>
      <c r="C58" s="237">
        <f>DATE($D$2,$D$3-1,37)</f>
        <v>46118</v>
      </c>
      <c r="D58" s="167"/>
      <c r="E58" s="248" t="s">
        <v>126</v>
      </c>
      <c r="F58" s="168"/>
      <c r="G58" s="254"/>
      <c r="H58" s="248" t="s">
        <v>126</v>
      </c>
      <c r="I58" s="259"/>
      <c r="J58" s="104" t="str">
        <f>IF(処理用!AW57&gt;0,処理用!AW57,"")</f>
        <v/>
      </c>
      <c r="K58" s="185" t="str">
        <f>IF(処理用!AX57&gt;0,処理用!AX57,"")</f>
        <v/>
      </c>
      <c r="L58" s="186" t="str">
        <f>IF(処理用!AY57&gt;0,処理用!AY57,"")</f>
        <v/>
      </c>
      <c r="M58" s="185" t="str">
        <f>IF(処理用!AZ57&gt;0,処理用!AZ57,"")</f>
        <v/>
      </c>
      <c r="N58" s="187" t="str">
        <f>IF(処理用!BA57&gt;0,処理用!BA57,"")</f>
        <v/>
      </c>
      <c r="O58" s="185" t="str">
        <f>IF((処理用!BB57+処理用!BC57)&gt;0,処理用!BB57+処理用!BC57,"")</f>
        <v/>
      </c>
      <c r="P58" s="186" t="str">
        <f>IF((処理用!BD57+処理用!BE57)&gt;0,処理用!BD57+処理用!BE57,"")</f>
        <v/>
      </c>
      <c r="Q58" s="185" t="str">
        <f>IF(処理用!BF57&gt;0,処理用!BF57,"")</f>
        <v/>
      </c>
      <c r="R58" s="186" t="str">
        <f>IF(処理用!BG57&gt;0,処理用!BG57,"")</f>
        <v/>
      </c>
      <c r="S58" s="185" t="str">
        <f>IF((処理用!BH57+処理用!BI57)&gt;0,処理用!BH57+処理用!BI57,"")</f>
        <v/>
      </c>
      <c r="T58" s="186" t="str">
        <f>IF((処理用!BJ57+処理用!BK57)&gt;0,処理用!BJ57+処理用!BK57,"")</f>
        <v/>
      </c>
      <c r="U58" s="303">
        <f>SUM(K58:T60)+U55</f>
        <v>0</v>
      </c>
      <c r="V58" s="300">
        <f>VLOOKUP(C60,勤務形態オプション!$A$17:$C$24,2,FALSE)</f>
        <v>0</v>
      </c>
      <c r="W58" s="300">
        <f>VLOOKUP(C60,勤務形態オプション!$A$17:$C$24,3,FALSE)</f>
        <v>0</v>
      </c>
      <c r="X58" s="212"/>
      <c r="Y58" s="209"/>
      <c r="Z58" s="330"/>
    </row>
    <row r="59" spans="1:26" ht="17" customHeight="1">
      <c r="A59" s="289"/>
      <c r="B59" s="289"/>
      <c r="C59" s="158" t="str">
        <f>IF(C58&lt;&gt;"",TEXT(WEEKDAY(C58,1),"(aaa)"),"")</f>
        <v>(月)</v>
      </c>
      <c r="D59" s="159"/>
      <c r="E59" s="244" t="s">
        <v>126</v>
      </c>
      <c r="F59" s="160"/>
      <c r="G59" s="250"/>
      <c r="H59" s="244" t="s">
        <v>126</v>
      </c>
      <c r="I59" s="255"/>
      <c r="J59" s="103" t="str">
        <f>IF(処理用!AW58&gt;0,処理用!AW58,"")</f>
        <v/>
      </c>
      <c r="K59" s="182" t="str">
        <f>IF(処理用!AX58&gt;0,処理用!AX58,"")</f>
        <v/>
      </c>
      <c r="L59" s="183" t="str">
        <f>IF(処理用!AY58&gt;0,処理用!AY58,"")</f>
        <v/>
      </c>
      <c r="M59" s="182" t="str">
        <f>IF(処理用!AZ58&gt;0,処理用!AZ58,"")</f>
        <v/>
      </c>
      <c r="N59" s="184" t="str">
        <f>IF(処理用!BA58&gt;0,処理用!BA58,"")</f>
        <v/>
      </c>
      <c r="O59" s="179" t="str">
        <f>IF((処理用!BB58+処理用!BC58)&gt;0,処理用!BB58+処理用!BC58,"")</f>
        <v/>
      </c>
      <c r="P59" s="180" t="str">
        <f>IF((処理用!BD58+処理用!BE58)&gt;0,処理用!BD58+処理用!BE58,"")</f>
        <v/>
      </c>
      <c r="Q59" s="179" t="str">
        <f>IF(処理用!BF58&gt;0,処理用!BF58,"")</f>
        <v/>
      </c>
      <c r="R59" s="180" t="str">
        <f>IF(処理用!BG58&gt;0,処理用!BG58,"")</f>
        <v/>
      </c>
      <c r="S59" s="179" t="str">
        <f>IF((処理用!BH58+処理用!BI58)&gt;0,処理用!BH58+処理用!BI58,"")</f>
        <v/>
      </c>
      <c r="T59" s="180" t="str">
        <f>IF((処理用!BJ58+処理用!BK58)&gt;0,処理用!BJ58+処理用!BK58,"")</f>
        <v/>
      </c>
      <c r="U59" s="304"/>
      <c r="V59" s="300"/>
      <c r="W59" s="300"/>
      <c r="X59" s="207"/>
      <c r="Y59" s="209"/>
      <c r="Z59" s="331"/>
    </row>
    <row r="60" spans="1:26" ht="17" customHeight="1">
      <c r="A60" s="290"/>
      <c r="B60" s="290"/>
      <c r="C60" s="236"/>
      <c r="D60" s="161"/>
      <c r="E60" s="245" t="s">
        <v>126</v>
      </c>
      <c r="F60" s="162"/>
      <c r="G60" s="251"/>
      <c r="H60" s="245" t="s">
        <v>126</v>
      </c>
      <c r="I60" s="256"/>
      <c r="J60" s="103" t="str">
        <f>IF(処理用!AW59&gt;0,処理用!AW59,"")</f>
        <v/>
      </c>
      <c r="K60" s="182" t="str">
        <f>IF(処理用!AX59&gt;0,処理用!AX59,"")</f>
        <v/>
      </c>
      <c r="L60" s="183" t="str">
        <f>IF(処理用!AY59&gt;0,処理用!AY59,"")</f>
        <v/>
      </c>
      <c r="M60" s="182" t="str">
        <f>IF(処理用!AZ59&gt;0,処理用!AZ59,"")</f>
        <v/>
      </c>
      <c r="N60" s="184" t="str">
        <f>IF(処理用!BA59&gt;0,処理用!BA59,"")</f>
        <v/>
      </c>
      <c r="O60" s="179" t="str">
        <f>IF((処理用!BB59+処理用!BC59)&gt;0,処理用!BB59+処理用!BC59,"")</f>
        <v/>
      </c>
      <c r="P60" s="180" t="str">
        <f>IF((処理用!BD59+処理用!BE59)&gt;0,処理用!BD59+処理用!BE59,"")</f>
        <v/>
      </c>
      <c r="Q60" s="179" t="str">
        <f>IF(処理用!BF59&gt;0,処理用!BF59,"")</f>
        <v/>
      </c>
      <c r="R60" s="180" t="str">
        <f>IF(処理用!BG59&gt;0,処理用!BG59,"")</f>
        <v/>
      </c>
      <c r="S60" s="179" t="str">
        <f>IF((処理用!BH59+処理用!BI59)&gt;0,処理用!BH59+処理用!BI59,"")</f>
        <v/>
      </c>
      <c r="T60" s="180" t="str">
        <f>IF((処理用!BJ59+処理用!BK59)&gt;0,処理用!BJ59+処理用!BK59,"")</f>
        <v/>
      </c>
      <c r="U60" s="304"/>
      <c r="V60" s="301"/>
      <c r="W60" s="301"/>
      <c r="X60" s="213"/>
      <c r="Y60" s="211"/>
      <c r="Z60" s="332"/>
    </row>
    <row r="61" spans="1:26" ht="17" customHeight="1">
      <c r="A61" s="289"/>
      <c r="B61" s="289"/>
      <c r="C61" s="235">
        <f>DATE($D$2,$D$3-1,38)</f>
        <v>46119</v>
      </c>
      <c r="D61" s="163"/>
      <c r="E61" s="246" t="s">
        <v>126</v>
      </c>
      <c r="F61" s="164"/>
      <c r="G61" s="252"/>
      <c r="H61" s="246" t="s">
        <v>126</v>
      </c>
      <c r="I61" s="257"/>
      <c r="J61" s="104" t="str">
        <f>IF(処理用!AW60&gt;0,処理用!AW60,"")</f>
        <v/>
      </c>
      <c r="K61" s="185" t="str">
        <f>IF(処理用!AX60&gt;0,処理用!AX60,"")</f>
        <v/>
      </c>
      <c r="L61" s="186" t="str">
        <f>IF(処理用!AY60&gt;0,処理用!AY60,"")</f>
        <v/>
      </c>
      <c r="M61" s="185" t="str">
        <f>IF(処理用!AZ60&gt;0,処理用!AZ60,"")</f>
        <v/>
      </c>
      <c r="N61" s="187" t="str">
        <f>IF(処理用!BA60&gt;0,処理用!BA60,"")</f>
        <v/>
      </c>
      <c r="O61" s="185" t="str">
        <f>IF((処理用!BB60+処理用!BC60)&gt;0,処理用!BB60+処理用!BC60,"")</f>
        <v/>
      </c>
      <c r="P61" s="186" t="str">
        <f>IF((処理用!BD60+処理用!BE60)&gt;0,処理用!BD60+処理用!BE60,"")</f>
        <v/>
      </c>
      <c r="Q61" s="185" t="str">
        <f>IF(処理用!BF60&gt;0,処理用!BF60,"")</f>
        <v/>
      </c>
      <c r="R61" s="186" t="str">
        <f>IF(処理用!BG60&gt;0,処理用!BG60,"")</f>
        <v/>
      </c>
      <c r="S61" s="185" t="str">
        <f>IF((処理用!BH60+処理用!BI60)&gt;0,処理用!BH60+処理用!BI60,"")</f>
        <v/>
      </c>
      <c r="T61" s="186" t="str">
        <f>IF((処理用!BJ60+処理用!BK60)&gt;0,処理用!BJ60+処理用!BK60,"")</f>
        <v/>
      </c>
      <c r="U61" s="303">
        <f>SUM(K61:T63)+U58</f>
        <v>0</v>
      </c>
      <c r="V61" s="300">
        <f>VLOOKUP(C63,勤務形態オプション!$A$17:$C$24,2,FALSE)</f>
        <v>0</v>
      </c>
      <c r="W61" s="300">
        <f>VLOOKUP(C63,勤務形態オプション!$A$17:$C$24,3,FALSE)</f>
        <v>0</v>
      </c>
      <c r="X61" s="214"/>
      <c r="Y61" s="209"/>
      <c r="Z61" s="330"/>
    </row>
    <row r="62" spans="1:26" ht="17" customHeight="1">
      <c r="A62" s="289"/>
      <c r="B62" s="289"/>
      <c r="C62" s="158" t="str">
        <f>IF(C61&lt;&gt;"",TEXT(WEEKDAY(C61,1),"(aaa)"),"")</f>
        <v>(火)</v>
      </c>
      <c r="D62" s="159"/>
      <c r="E62" s="244" t="s">
        <v>126</v>
      </c>
      <c r="F62" s="160"/>
      <c r="G62" s="250"/>
      <c r="H62" s="244" t="s">
        <v>126</v>
      </c>
      <c r="I62" s="255"/>
      <c r="J62" s="103" t="str">
        <f>IF(処理用!AW61&gt;0,処理用!AW61,"")</f>
        <v/>
      </c>
      <c r="K62" s="182" t="str">
        <f>IF(処理用!AX61&gt;0,処理用!AX61,"")</f>
        <v/>
      </c>
      <c r="L62" s="183" t="str">
        <f>IF(処理用!AY61&gt;0,処理用!AY61,"")</f>
        <v/>
      </c>
      <c r="M62" s="182" t="str">
        <f>IF(処理用!AZ61&gt;0,処理用!AZ61,"")</f>
        <v/>
      </c>
      <c r="N62" s="184" t="str">
        <f>IF(処理用!BA61&gt;0,処理用!BA61,"")</f>
        <v/>
      </c>
      <c r="O62" s="179" t="str">
        <f>IF((処理用!BB61+処理用!BC61)&gt;0,処理用!BB61+処理用!BC61,"")</f>
        <v/>
      </c>
      <c r="P62" s="180" t="str">
        <f>IF((処理用!BD61+処理用!BE61)&gt;0,処理用!BD61+処理用!BE61,"")</f>
        <v/>
      </c>
      <c r="Q62" s="179" t="str">
        <f>IF(処理用!BF61&gt;0,処理用!BF61,"")</f>
        <v/>
      </c>
      <c r="R62" s="180" t="str">
        <f>IF(処理用!BG61&gt;0,処理用!BG61,"")</f>
        <v/>
      </c>
      <c r="S62" s="179" t="str">
        <f>IF((処理用!BH61+処理用!BI61)&gt;0,処理用!BH61+処理用!BI61,"")</f>
        <v/>
      </c>
      <c r="T62" s="180" t="str">
        <f>IF((処理用!BJ61+処理用!BK61)&gt;0,処理用!BJ61+処理用!BK61,"")</f>
        <v/>
      </c>
      <c r="U62" s="304"/>
      <c r="V62" s="300"/>
      <c r="W62" s="300"/>
      <c r="X62" s="207"/>
      <c r="Y62" s="209"/>
      <c r="Z62" s="331"/>
    </row>
    <row r="63" spans="1:26" ht="17" customHeight="1">
      <c r="A63" s="290"/>
      <c r="B63" s="290"/>
      <c r="C63" s="236"/>
      <c r="D63" s="165"/>
      <c r="E63" s="247" t="s">
        <v>126</v>
      </c>
      <c r="F63" s="166"/>
      <c r="G63" s="253"/>
      <c r="H63" s="247" t="s">
        <v>126</v>
      </c>
      <c r="I63" s="258"/>
      <c r="J63" s="103" t="str">
        <f>IF(処理用!AW62&gt;0,処理用!AW62,"")</f>
        <v/>
      </c>
      <c r="K63" s="182" t="str">
        <f>IF(処理用!AX62&gt;0,処理用!AX62,"")</f>
        <v/>
      </c>
      <c r="L63" s="183" t="str">
        <f>IF(処理用!AY62&gt;0,処理用!AY62,"")</f>
        <v/>
      </c>
      <c r="M63" s="182" t="str">
        <f>IF(処理用!AZ62&gt;0,処理用!AZ62,"")</f>
        <v/>
      </c>
      <c r="N63" s="184" t="str">
        <f>IF(処理用!BA62&gt;0,処理用!BA62,"")</f>
        <v/>
      </c>
      <c r="O63" s="179" t="str">
        <f>IF((処理用!BB62+処理用!BC62)&gt;0,処理用!BB62+処理用!BC62,"")</f>
        <v/>
      </c>
      <c r="P63" s="180" t="str">
        <f>IF((処理用!BD62+処理用!BE62)&gt;0,処理用!BD62+処理用!BE62,"")</f>
        <v/>
      </c>
      <c r="Q63" s="179" t="str">
        <f>IF(処理用!BF62&gt;0,処理用!BF62,"")</f>
        <v/>
      </c>
      <c r="R63" s="180" t="str">
        <f>IF(処理用!BG62&gt;0,処理用!BG62,"")</f>
        <v/>
      </c>
      <c r="S63" s="179" t="str">
        <f>IF((処理用!BH62+処理用!BI62)&gt;0,処理用!BH62+処理用!BI62,"")</f>
        <v/>
      </c>
      <c r="T63" s="180" t="str">
        <f>IF((処理用!BJ62+処理用!BK62)&gt;0,処理用!BJ62+処理用!BK62,"")</f>
        <v/>
      </c>
      <c r="U63" s="304"/>
      <c r="V63" s="301"/>
      <c r="W63" s="301"/>
      <c r="X63" s="210"/>
      <c r="Y63" s="211"/>
      <c r="Z63" s="332"/>
    </row>
    <row r="64" spans="1:26" ht="17" customHeight="1">
      <c r="A64" s="289"/>
      <c r="B64" s="289"/>
      <c r="C64" s="237">
        <f>DATE($D$2,$D$3-1,39)</f>
        <v>46120</v>
      </c>
      <c r="D64" s="167"/>
      <c r="E64" s="248" t="s">
        <v>126</v>
      </c>
      <c r="F64" s="168"/>
      <c r="G64" s="254"/>
      <c r="H64" s="248" t="s">
        <v>126</v>
      </c>
      <c r="I64" s="259"/>
      <c r="J64" s="104" t="str">
        <f>IF(処理用!AW63&gt;0,処理用!AW63,"")</f>
        <v/>
      </c>
      <c r="K64" s="185" t="str">
        <f>IF(処理用!AX63&gt;0,処理用!AX63,"")</f>
        <v/>
      </c>
      <c r="L64" s="186" t="str">
        <f>IF(処理用!AY63&gt;0,処理用!AY63,"")</f>
        <v/>
      </c>
      <c r="M64" s="185" t="str">
        <f>IF(処理用!AZ63&gt;0,処理用!AZ63,"")</f>
        <v/>
      </c>
      <c r="N64" s="187" t="str">
        <f>IF(処理用!BA63&gt;0,処理用!BA63,"")</f>
        <v/>
      </c>
      <c r="O64" s="185" t="str">
        <f>IF((処理用!BB63+処理用!BC63)&gt;0,処理用!BB63+処理用!BC63,"")</f>
        <v/>
      </c>
      <c r="P64" s="186" t="str">
        <f>IF((処理用!BD63+処理用!BE63)&gt;0,処理用!BD63+処理用!BE63,"")</f>
        <v/>
      </c>
      <c r="Q64" s="185" t="str">
        <f>IF(処理用!BF63&gt;0,処理用!BF63,"")</f>
        <v/>
      </c>
      <c r="R64" s="186" t="str">
        <f>IF(処理用!BG63&gt;0,処理用!BG63,"")</f>
        <v/>
      </c>
      <c r="S64" s="185" t="str">
        <f>IF((処理用!BH63+処理用!BI63)&gt;0,処理用!BH63+処理用!BI63,"")</f>
        <v/>
      </c>
      <c r="T64" s="186" t="str">
        <f>IF((処理用!BJ63+処理用!BK63)&gt;0,処理用!BJ63+処理用!BK63,"")</f>
        <v/>
      </c>
      <c r="U64" s="303">
        <f>SUM(K64:T66)+U61</f>
        <v>0</v>
      </c>
      <c r="V64" s="300">
        <f>VLOOKUP(C66,勤務形態オプション!$A$17:$C$24,2,FALSE)</f>
        <v>0</v>
      </c>
      <c r="W64" s="300">
        <f>VLOOKUP(C66,勤務形態オプション!$A$17:$C$24,3,FALSE)</f>
        <v>0</v>
      </c>
      <c r="X64" s="212"/>
      <c r="Y64" s="209"/>
      <c r="Z64" s="330"/>
    </row>
    <row r="65" spans="1:26" ht="17" customHeight="1">
      <c r="A65" s="289"/>
      <c r="B65" s="289"/>
      <c r="C65" s="158" t="str">
        <f>IF(C64&lt;&gt;"",TEXT(WEEKDAY(C64,1),"(aaa)"),"")</f>
        <v>(水)</v>
      </c>
      <c r="D65" s="159"/>
      <c r="E65" s="244" t="s">
        <v>126</v>
      </c>
      <c r="F65" s="160"/>
      <c r="G65" s="250"/>
      <c r="H65" s="244" t="s">
        <v>126</v>
      </c>
      <c r="I65" s="255"/>
      <c r="J65" s="103" t="str">
        <f>IF(処理用!AW64&gt;0,処理用!AW64,"")</f>
        <v/>
      </c>
      <c r="K65" s="182" t="str">
        <f>IF(処理用!AX64&gt;0,処理用!AX64,"")</f>
        <v/>
      </c>
      <c r="L65" s="183" t="str">
        <f>IF(処理用!AY64&gt;0,処理用!AY64,"")</f>
        <v/>
      </c>
      <c r="M65" s="182" t="str">
        <f>IF(処理用!AZ64&gt;0,処理用!AZ64,"")</f>
        <v/>
      </c>
      <c r="N65" s="184" t="str">
        <f>IF(処理用!BA64&gt;0,処理用!BA64,"")</f>
        <v/>
      </c>
      <c r="O65" s="179" t="str">
        <f>IF((処理用!BB64+処理用!BC64)&gt;0,処理用!BB64+処理用!BC64,"")</f>
        <v/>
      </c>
      <c r="P65" s="180" t="str">
        <f>IF((処理用!BD64+処理用!BE64)&gt;0,処理用!BD64+処理用!BE64,"")</f>
        <v/>
      </c>
      <c r="Q65" s="179" t="str">
        <f>IF(処理用!BF64&gt;0,処理用!BF64,"")</f>
        <v/>
      </c>
      <c r="R65" s="180" t="str">
        <f>IF(処理用!BG64&gt;0,処理用!BG64,"")</f>
        <v/>
      </c>
      <c r="S65" s="179" t="str">
        <f>IF((処理用!BH64+処理用!BI64)&gt;0,処理用!BH64+処理用!BI64,"")</f>
        <v/>
      </c>
      <c r="T65" s="180" t="str">
        <f>IF((処理用!BJ64+処理用!BK64)&gt;0,処理用!BJ64+処理用!BK64,"")</f>
        <v/>
      </c>
      <c r="U65" s="304"/>
      <c r="V65" s="300"/>
      <c r="W65" s="300"/>
      <c r="X65" s="207"/>
      <c r="Y65" s="209"/>
      <c r="Z65" s="331"/>
    </row>
    <row r="66" spans="1:26" ht="17" customHeight="1">
      <c r="A66" s="290"/>
      <c r="B66" s="290"/>
      <c r="C66" s="236"/>
      <c r="D66" s="161"/>
      <c r="E66" s="245" t="s">
        <v>126</v>
      </c>
      <c r="F66" s="162"/>
      <c r="G66" s="251"/>
      <c r="H66" s="245" t="s">
        <v>126</v>
      </c>
      <c r="I66" s="256"/>
      <c r="J66" s="103" t="str">
        <f>IF(処理用!AW65&gt;0,処理用!AW65,"")</f>
        <v/>
      </c>
      <c r="K66" s="182" t="str">
        <f>IF(処理用!AX65&gt;0,処理用!AX65,"")</f>
        <v/>
      </c>
      <c r="L66" s="183" t="str">
        <f>IF(処理用!AY65&gt;0,処理用!AY65,"")</f>
        <v/>
      </c>
      <c r="M66" s="182" t="str">
        <f>IF(処理用!AZ65&gt;0,処理用!AZ65,"")</f>
        <v/>
      </c>
      <c r="N66" s="184" t="str">
        <f>IF(処理用!BA65&gt;0,処理用!BA65,"")</f>
        <v/>
      </c>
      <c r="O66" s="179" t="str">
        <f>IF((処理用!BB65+処理用!BC65)&gt;0,処理用!BB65+処理用!BC65,"")</f>
        <v/>
      </c>
      <c r="P66" s="180" t="str">
        <f>IF((処理用!BD65+処理用!BE65)&gt;0,処理用!BD65+処理用!BE65,"")</f>
        <v/>
      </c>
      <c r="Q66" s="179" t="str">
        <f>IF(処理用!BF65&gt;0,処理用!BF65,"")</f>
        <v/>
      </c>
      <c r="R66" s="180" t="str">
        <f>IF(処理用!BG65&gt;0,処理用!BG65,"")</f>
        <v/>
      </c>
      <c r="S66" s="179" t="str">
        <f>IF((処理用!BH65+処理用!BI65)&gt;0,処理用!BH65+処理用!BI65,"")</f>
        <v/>
      </c>
      <c r="T66" s="180" t="str">
        <f>IF((処理用!BJ65+処理用!BK65)&gt;0,処理用!BJ65+処理用!BK65,"")</f>
        <v/>
      </c>
      <c r="U66" s="304"/>
      <c r="V66" s="301"/>
      <c r="W66" s="301"/>
      <c r="X66" s="213"/>
      <c r="Y66" s="211"/>
      <c r="Z66" s="332"/>
    </row>
    <row r="67" spans="1:26" ht="17" customHeight="1">
      <c r="A67" s="289"/>
      <c r="B67" s="289"/>
      <c r="C67" s="235">
        <f>DATE($D$2,$D$3-1,40)</f>
        <v>46121</v>
      </c>
      <c r="D67" s="163"/>
      <c r="E67" s="246" t="s">
        <v>126</v>
      </c>
      <c r="F67" s="164"/>
      <c r="G67" s="252"/>
      <c r="H67" s="246" t="s">
        <v>126</v>
      </c>
      <c r="I67" s="257"/>
      <c r="J67" s="104" t="str">
        <f>IF(処理用!AW66&gt;0,処理用!AW66,"")</f>
        <v/>
      </c>
      <c r="K67" s="185" t="str">
        <f>IF(処理用!AX66&gt;0,処理用!AX66,"")</f>
        <v/>
      </c>
      <c r="L67" s="186" t="str">
        <f>IF(処理用!AY66&gt;0,処理用!AY66,"")</f>
        <v/>
      </c>
      <c r="M67" s="185" t="str">
        <f>IF(処理用!AZ66&gt;0,処理用!AZ66,"")</f>
        <v/>
      </c>
      <c r="N67" s="187" t="str">
        <f>IF(処理用!BA66&gt;0,処理用!BA66,"")</f>
        <v/>
      </c>
      <c r="O67" s="185" t="str">
        <f>IF((処理用!BB66+処理用!BC66)&gt;0,処理用!BB66+処理用!BC66,"")</f>
        <v/>
      </c>
      <c r="P67" s="186" t="str">
        <f>IF((処理用!BD66+処理用!BE66)&gt;0,処理用!BD66+処理用!BE66,"")</f>
        <v/>
      </c>
      <c r="Q67" s="185" t="str">
        <f>IF(処理用!BF66&gt;0,処理用!BF66,"")</f>
        <v/>
      </c>
      <c r="R67" s="186" t="str">
        <f>IF(処理用!BG66&gt;0,処理用!BG66,"")</f>
        <v/>
      </c>
      <c r="S67" s="185" t="str">
        <f>IF((処理用!BH66+処理用!BI66)&gt;0,処理用!BH66+処理用!BI66,"")</f>
        <v/>
      </c>
      <c r="T67" s="186" t="str">
        <f>IF((処理用!BJ66+処理用!BK66)&gt;0,処理用!BJ66+処理用!BK66,"")</f>
        <v/>
      </c>
      <c r="U67" s="303">
        <f>SUM(K67:T69)+U64</f>
        <v>0</v>
      </c>
      <c r="V67" s="300">
        <f>VLOOKUP(C69,勤務形態オプション!$A$17:$C$24,2,FALSE)</f>
        <v>0</v>
      </c>
      <c r="W67" s="300">
        <f>VLOOKUP(C69,勤務形態オプション!$A$17:$C$24,3,FALSE)</f>
        <v>0</v>
      </c>
      <c r="X67" s="214"/>
      <c r="Y67" s="209"/>
      <c r="Z67" s="330"/>
    </row>
    <row r="68" spans="1:26" ht="17" customHeight="1">
      <c r="A68" s="289"/>
      <c r="B68" s="289"/>
      <c r="C68" s="158" t="str">
        <f>IF(C67&lt;&gt;"",TEXT(WEEKDAY(C67,1),"(aaa)"),"")</f>
        <v>(木)</v>
      </c>
      <c r="D68" s="159"/>
      <c r="E68" s="244" t="s">
        <v>126</v>
      </c>
      <c r="F68" s="160"/>
      <c r="G68" s="250"/>
      <c r="H68" s="244" t="s">
        <v>126</v>
      </c>
      <c r="I68" s="255"/>
      <c r="J68" s="103" t="str">
        <f>IF(処理用!AW67&gt;0,処理用!AW67,"")</f>
        <v/>
      </c>
      <c r="K68" s="182" t="str">
        <f>IF(処理用!AX67&gt;0,処理用!AX67,"")</f>
        <v/>
      </c>
      <c r="L68" s="183" t="str">
        <f>IF(処理用!AY67&gt;0,処理用!AY67,"")</f>
        <v/>
      </c>
      <c r="M68" s="182" t="str">
        <f>IF(処理用!AZ67&gt;0,処理用!AZ67,"")</f>
        <v/>
      </c>
      <c r="N68" s="184" t="str">
        <f>IF(処理用!BA67&gt;0,処理用!BA67,"")</f>
        <v/>
      </c>
      <c r="O68" s="179" t="str">
        <f>IF((処理用!BB67+処理用!BC67)&gt;0,処理用!BB67+処理用!BC67,"")</f>
        <v/>
      </c>
      <c r="P68" s="180" t="str">
        <f>IF((処理用!BD67+処理用!BE67)&gt;0,処理用!BD67+処理用!BE67,"")</f>
        <v/>
      </c>
      <c r="Q68" s="179" t="str">
        <f>IF(処理用!BF67&gt;0,処理用!BF67,"")</f>
        <v/>
      </c>
      <c r="R68" s="180" t="str">
        <f>IF(処理用!BG67&gt;0,処理用!BG67,"")</f>
        <v/>
      </c>
      <c r="S68" s="179" t="str">
        <f>IF((処理用!BH67+処理用!BI67)&gt;0,処理用!BH67+処理用!BI67,"")</f>
        <v/>
      </c>
      <c r="T68" s="180" t="str">
        <f>IF((処理用!BJ67+処理用!BK67)&gt;0,処理用!BJ67+処理用!BK67,"")</f>
        <v/>
      </c>
      <c r="U68" s="304"/>
      <c r="V68" s="300"/>
      <c r="W68" s="300"/>
      <c r="X68" s="207"/>
      <c r="Y68" s="209"/>
      <c r="Z68" s="331"/>
    </row>
    <row r="69" spans="1:26" ht="17" customHeight="1">
      <c r="A69" s="290"/>
      <c r="B69" s="290"/>
      <c r="C69" s="236"/>
      <c r="D69" s="165"/>
      <c r="E69" s="247" t="s">
        <v>126</v>
      </c>
      <c r="F69" s="166"/>
      <c r="G69" s="253"/>
      <c r="H69" s="247" t="s">
        <v>126</v>
      </c>
      <c r="I69" s="258"/>
      <c r="J69" s="103" t="str">
        <f>IF(処理用!AW68&gt;0,処理用!AW68,"")</f>
        <v/>
      </c>
      <c r="K69" s="182" t="str">
        <f>IF(処理用!AX68&gt;0,処理用!AX68,"")</f>
        <v/>
      </c>
      <c r="L69" s="183" t="str">
        <f>IF(処理用!AY68&gt;0,処理用!AY68,"")</f>
        <v/>
      </c>
      <c r="M69" s="182" t="str">
        <f>IF(処理用!AZ68&gt;0,処理用!AZ68,"")</f>
        <v/>
      </c>
      <c r="N69" s="184" t="str">
        <f>IF(処理用!BA68&gt;0,処理用!BA68,"")</f>
        <v/>
      </c>
      <c r="O69" s="179" t="str">
        <f>IF((処理用!BB68+処理用!BC68)&gt;0,処理用!BB68+処理用!BC68,"")</f>
        <v/>
      </c>
      <c r="P69" s="180" t="str">
        <f>IF((処理用!BD68+処理用!BE68)&gt;0,処理用!BD68+処理用!BE68,"")</f>
        <v/>
      </c>
      <c r="Q69" s="179" t="str">
        <f>IF(処理用!BF68&gt;0,処理用!BF68,"")</f>
        <v/>
      </c>
      <c r="R69" s="180" t="str">
        <f>IF(処理用!BG68&gt;0,処理用!BG68,"")</f>
        <v/>
      </c>
      <c r="S69" s="179" t="str">
        <f>IF((処理用!BH68+処理用!BI68)&gt;0,処理用!BH68+処理用!BI68,"")</f>
        <v/>
      </c>
      <c r="T69" s="180" t="str">
        <f>IF((処理用!BJ68+処理用!BK68)&gt;0,処理用!BJ68+処理用!BK68,"")</f>
        <v/>
      </c>
      <c r="U69" s="304"/>
      <c r="V69" s="301"/>
      <c r="W69" s="301"/>
      <c r="X69" s="210"/>
      <c r="Y69" s="211"/>
      <c r="Z69" s="332"/>
    </row>
    <row r="70" spans="1:26" ht="17" customHeight="1">
      <c r="A70" s="289"/>
      <c r="B70" s="289"/>
      <c r="C70" s="237">
        <f>DATE($D$2,$D$3-1,41)</f>
        <v>46122</v>
      </c>
      <c r="D70" s="167"/>
      <c r="E70" s="248" t="s">
        <v>126</v>
      </c>
      <c r="F70" s="168"/>
      <c r="G70" s="254"/>
      <c r="H70" s="248" t="s">
        <v>126</v>
      </c>
      <c r="I70" s="259"/>
      <c r="J70" s="104" t="str">
        <f>IF(処理用!AW69&gt;0,処理用!AW69,"")</f>
        <v/>
      </c>
      <c r="K70" s="185" t="str">
        <f>IF(処理用!AX69&gt;0,処理用!AX69,"")</f>
        <v/>
      </c>
      <c r="L70" s="186" t="str">
        <f>IF(処理用!AY69&gt;0,処理用!AY69,"")</f>
        <v/>
      </c>
      <c r="M70" s="185" t="str">
        <f>IF(処理用!AZ69&gt;0,処理用!AZ69,"")</f>
        <v/>
      </c>
      <c r="N70" s="187" t="str">
        <f>IF(処理用!BA69&gt;0,処理用!BA69,"")</f>
        <v/>
      </c>
      <c r="O70" s="185" t="str">
        <f>IF((処理用!BB69+処理用!BC69)&gt;0,処理用!BB69+処理用!BC69,"")</f>
        <v/>
      </c>
      <c r="P70" s="186" t="str">
        <f>IF((処理用!BD69+処理用!BE69)&gt;0,処理用!BD69+処理用!BE69,"")</f>
        <v/>
      </c>
      <c r="Q70" s="185" t="str">
        <f>IF(処理用!BF69&gt;0,処理用!BF69,"")</f>
        <v/>
      </c>
      <c r="R70" s="186" t="str">
        <f>IF(処理用!BG69&gt;0,処理用!BG69,"")</f>
        <v/>
      </c>
      <c r="S70" s="185" t="str">
        <f>IF((処理用!BH69+処理用!BI69)&gt;0,処理用!BH69+処理用!BI69,"")</f>
        <v/>
      </c>
      <c r="T70" s="186" t="str">
        <f>IF((処理用!BJ69+処理用!BK69)&gt;0,処理用!BJ69+処理用!BK69,"")</f>
        <v/>
      </c>
      <c r="U70" s="303">
        <f>SUM(K70:T72)+U67</f>
        <v>0</v>
      </c>
      <c r="V70" s="300">
        <f>VLOOKUP(C72,勤務形態オプション!$A$17:$C$24,2,FALSE)</f>
        <v>0</v>
      </c>
      <c r="W70" s="300">
        <f>VLOOKUP(C72,勤務形態オプション!$A$17:$C$24,3,FALSE)</f>
        <v>0</v>
      </c>
      <c r="X70" s="212"/>
      <c r="Y70" s="209"/>
      <c r="Z70" s="330"/>
    </row>
    <row r="71" spans="1:26" ht="17" customHeight="1">
      <c r="A71" s="289"/>
      <c r="B71" s="289"/>
      <c r="C71" s="158" t="str">
        <f>IF(C70&lt;&gt;"",TEXT(WEEKDAY(C70,1),"(aaa)"),"")</f>
        <v>(金)</v>
      </c>
      <c r="D71" s="159"/>
      <c r="E71" s="244" t="s">
        <v>126</v>
      </c>
      <c r="F71" s="160"/>
      <c r="G71" s="250"/>
      <c r="H71" s="244" t="s">
        <v>126</v>
      </c>
      <c r="I71" s="255"/>
      <c r="J71" s="103" t="str">
        <f>IF(処理用!AW70&gt;0,処理用!AW70,"")</f>
        <v/>
      </c>
      <c r="K71" s="182" t="str">
        <f>IF(処理用!AX70&gt;0,処理用!AX70,"")</f>
        <v/>
      </c>
      <c r="L71" s="183" t="str">
        <f>IF(処理用!AY70&gt;0,処理用!AY70,"")</f>
        <v/>
      </c>
      <c r="M71" s="182" t="str">
        <f>IF(処理用!AZ70&gt;0,処理用!AZ70,"")</f>
        <v/>
      </c>
      <c r="N71" s="184" t="str">
        <f>IF(処理用!BA70&gt;0,処理用!BA70,"")</f>
        <v/>
      </c>
      <c r="O71" s="179" t="str">
        <f>IF((処理用!BB70+処理用!BC70)&gt;0,処理用!BB70+処理用!BC70,"")</f>
        <v/>
      </c>
      <c r="P71" s="180" t="str">
        <f>IF((処理用!BD70+処理用!BE70)&gt;0,処理用!BD70+処理用!BE70,"")</f>
        <v/>
      </c>
      <c r="Q71" s="179" t="str">
        <f>IF(処理用!BF70&gt;0,処理用!BF70,"")</f>
        <v/>
      </c>
      <c r="R71" s="180" t="str">
        <f>IF(処理用!BG70&gt;0,処理用!BG70,"")</f>
        <v/>
      </c>
      <c r="S71" s="179" t="str">
        <f>IF((処理用!BH70+処理用!BI70)&gt;0,処理用!BH70+処理用!BI70,"")</f>
        <v/>
      </c>
      <c r="T71" s="180" t="str">
        <f>IF((処理用!BJ70+処理用!BK70)&gt;0,処理用!BJ70+処理用!BK70,"")</f>
        <v/>
      </c>
      <c r="U71" s="304"/>
      <c r="V71" s="300"/>
      <c r="W71" s="300"/>
      <c r="X71" s="207"/>
      <c r="Y71" s="209"/>
      <c r="Z71" s="331"/>
    </row>
    <row r="72" spans="1:26" ht="17" customHeight="1">
      <c r="A72" s="290"/>
      <c r="B72" s="290"/>
      <c r="C72" s="236"/>
      <c r="D72" s="161"/>
      <c r="E72" s="245" t="s">
        <v>126</v>
      </c>
      <c r="F72" s="162"/>
      <c r="G72" s="251"/>
      <c r="H72" s="245" t="s">
        <v>126</v>
      </c>
      <c r="I72" s="256"/>
      <c r="J72" s="103" t="str">
        <f>IF(処理用!AW71&gt;0,処理用!AW71,"")</f>
        <v/>
      </c>
      <c r="K72" s="182" t="str">
        <f>IF(処理用!AX71&gt;0,処理用!AX71,"")</f>
        <v/>
      </c>
      <c r="L72" s="183" t="str">
        <f>IF(処理用!AY71&gt;0,処理用!AY71,"")</f>
        <v/>
      </c>
      <c r="M72" s="182" t="str">
        <f>IF(処理用!AZ71&gt;0,処理用!AZ71,"")</f>
        <v/>
      </c>
      <c r="N72" s="184" t="str">
        <f>IF(処理用!BA71&gt;0,処理用!BA71,"")</f>
        <v/>
      </c>
      <c r="O72" s="179" t="str">
        <f>IF((処理用!BB71+処理用!BC71)&gt;0,処理用!BB71+処理用!BC71,"")</f>
        <v/>
      </c>
      <c r="P72" s="180" t="str">
        <f>IF((処理用!BD71+処理用!BE71)&gt;0,処理用!BD71+処理用!BE71,"")</f>
        <v/>
      </c>
      <c r="Q72" s="179" t="str">
        <f>IF(処理用!BF71&gt;0,処理用!BF71,"")</f>
        <v/>
      </c>
      <c r="R72" s="180" t="str">
        <f>IF(処理用!BG71&gt;0,処理用!BG71,"")</f>
        <v/>
      </c>
      <c r="S72" s="179" t="str">
        <f>IF((処理用!BH71+処理用!BI71)&gt;0,処理用!BH71+処理用!BI71,"")</f>
        <v/>
      </c>
      <c r="T72" s="180" t="str">
        <f>IF((処理用!BJ71+処理用!BK71)&gt;0,処理用!BJ71+処理用!BK71,"")</f>
        <v/>
      </c>
      <c r="U72" s="304"/>
      <c r="V72" s="301"/>
      <c r="W72" s="301"/>
      <c r="X72" s="213"/>
      <c r="Y72" s="211"/>
      <c r="Z72" s="332"/>
    </row>
    <row r="73" spans="1:26" ht="17" customHeight="1">
      <c r="A73" s="289"/>
      <c r="B73" s="289"/>
      <c r="C73" s="235">
        <f>DATE($D$2,$D$3-1,42)</f>
        <v>46123</v>
      </c>
      <c r="D73" s="163"/>
      <c r="E73" s="246" t="s">
        <v>126</v>
      </c>
      <c r="F73" s="164"/>
      <c r="G73" s="252"/>
      <c r="H73" s="246" t="s">
        <v>126</v>
      </c>
      <c r="I73" s="257"/>
      <c r="J73" s="104" t="str">
        <f>IF(処理用!AW72&gt;0,処理用!AW72,"")</f>
        <v/>
      </c>
      <c r="K73" s="185" t="str">
        <f>IF(処理用!AX72&gt;0,処理用!AX72,"")</f>
        <v/>
      </c>
      <c r="L73" s="186" t="str">
        <f>IF(処理用!AY72&gt;0,処理用!AY72,"")</f>
        <v/>
      </c>
      <c r="M73" s="185" t="str">
        <f>IF(処理用!AZ72&gt;0,処理用!AZ72,"")</f>
        <v/>
      </c>
      <c r="N73" s="187" t="str">
        <f>IF(処理用!BA72&gt;0,処理用!BA72,"")</f>
        <v/>
      </c>
      <c r="O73" s="185" t="str">
        <f>IF((処理用!BB72+処理用!BC72)&gt;0,処理用!BB72+処理用!BC72,"")</f>
        <v/>
      </c>
      <c r="P73" s="186" t="str">
        <f>IF((処理用!BD72+処理用!BE72)&gt;0,処理用!BD72+処理用!BE72,"")</f>
        <v/>
      </c>
      <c r="Q73" s="185" t="str">
        <f>IF(処理用!BF72&gt;0,処理用!BF72,"")</f>
        <v/>
      </c>
      <c r="R73" s="186" t="str">
        <f>IF(処理用!BG72&gt;0,処理用!BG72,"")</f>
        <v/>
      </c>
      <c r="S73" s="185" t="str">
        <f>IF((処理用!BH72+処理用!BI72)&gt;0,処理用!BH72+処理用!BI72,"")</f>
        <v/>
      </c>
      <c r="T73" s="186" t="str">
        <f>IF((処理用!BJ72+処理用!BK72)&gt;0,処理用!BJ72+処理用!BK72,"")</f>
        <v/>
      </c>
      <c r="U73" s="303">
        <f>SUM(K73:T75)+U70</f>
        <v>0</v>
      </c>
      <c r="V73" s="300">
        <f>VLOOKUP(C75,勤務形態オプション!$A$17:$C$24,2,FALSE)</f>
        <v>0</v>
      </c>
      <c r="W73" s="300">
        <f>VLOOKUP(C75,勤務形態オプション!$A$17:$C$24,3,FALSE)</f>
        <v>0</v>
      </c>
      <c r="X73" s="214"/>
      <c r="Y73" s="209"/>
      <c r="Z73" s="330"/>
    </row>
    <row r="74" spans="1:26" ht="17" customHeight="1">
      <c r="A74" s="289"/>
      <c r="B74" s="289"/>
      <c r="C74" s="158" t="str">
        <f>IF(C73&lt;&gt;"",TEXT(WEEKDAY(C73,1),"(aaa)"),"")</f>
        <v>(土)</v>
      </c>
      <c r="D74" s="159"/>
      <c r="E74" s="244" t="s">
        <v>126</v>
      </c>
      <c r="F74" s="160"/>
      <c r="G74" s="250"/>
      <c r="H74" s="244" t="s">
        <v>126</v>
      </c>
      <c r="I74" s="255"/>
      <c r="J74" s="103" t="str">
        <f>IF(処理用!AW73&gt;0,処理用!AW73,"")</f>
        <v/>
      </c>
      <c r="K74" s="182" t="str">
        <f>IF(処理用!AX73&gt;0,処理用!AX73,"")</f>
        <v/>
      </c>
      <c r="L74" s="183" t="str">
        <f>IF(処理用!AY73&gt;0,処理用!AY73,"")</f>
        <v/>
      </c>
      <c r="M74" s="182" t="str">
        <f>IF(処理用!AZ73&gt;0,処理用!AZ73,"")</f>
        <v/>
      </c>
      <c r="N74" s="184" t="str">
        <f>IF(処理用!BA73&gt;0,処理用!BA73,"")</f>
        <v/>
      </c>
      <c r="O74" s="179" t="str">
        <f>IF((処理用!BB73+処理用!BC73)&gt;0,処理用!BB73+処理用!BC73,"")</f>
        <v/>
      </c>
      <c r="P74" s="180" t="str">
        <f>IF((処理用!BD73+処理用!BE73)&gt;0,処理用!BD73+処理用!BE73,"")</f>
        <v/>
      </c>
      <c r="Q74" s="179" t="str">
        <f>IF(処理用!BF73&gt;0,処理用!BF73,"")</f>
        <v/>
      </c>
      <c r="R74" s="180" t="str">
        <f>IF(処理用!BG73&gt;0,処理用!BG73,"")</f>
        <v/>
      </c>
      <c r="S74" s="179" t="str">
        <f>IF((処理用!BH73+処理用!BI73)&gt;0,処理用!BH73+処理用!BI73,"")</f>
        <v/>
      </c>
      <c r="T74" s="180" t="str">
        <f>IF((処理用!BJ73+処理用!BK73)&gt;0,処理用!BJ73+処理用!BK73,"")</f>
        <v/>
      </c>
      <c r="U74" s="304"/>
      <c r="V74" s="300"/>
      <c r="W74" s="300"/>
      <c r="X74" s="207"/>
      <c r="Y74" s="209"/>
      <c r="Z74" s="331"/>
    </row>
    <row r="75" spans="1:26" ht="17" customHeight="1">
      <c r="A75" s="290"/>
      <c r="B75" s="290"/>
      <c r="C75" s="236"/>
      <c r="D75" s="165"/>
      <c r="E75" s="247" t="s">
        <v>126</v>
      </c>
      <c r="F75" s="166"/>
      <c r="G75" s="253"/>
      <c r="H75" s="247" t="s">
        <v>126</v>
      </c>
      <c r="I75" s="258"/>
      <c r="J75" s="103" t="str">
        <f>IF(処理用!AW74&gt;0,処理用!AW74,"")</f>
        <v/>
      </c>
      <c r="K75" s="182" t="str">
        <f>IF(処理用!AX74&gt;0,処理用!AX74,"")</f>
        <v/>
      </c>
      <c r="L75" s="183" t="str">
        <f>IF(処理用!AY74&gt;0,処理用!AY74,"")</f>
        <v/>
      </c>
      <c r="M75" s="182" t="str">
        <f>IF(処理用!AZ74&gt;0,処理用!AZ74,"")</f>
        <v/>
      </c>
      <c r="N75" s="184" t="str">
        <f>IF(処理用!BA74&gt;0,処理用!BA74,"")</f>
        <v/>
      </c>
      <c r="O75" s="179" t="str">
        <f>IF((処理用!BB74+処理用!BC74)&gt;0,処理用!BB74+処理用!BC74,"")</f>
        <v/>
      </c>
      <c r="P75" s="180" t="str">
        <f>IF((処理用!BD74+処理用!BE74)&gt;0,処理用!BD74+処理用!BE74,"")</f>
        <v/>
      </c>
      <c r="Q75" s="179" t="str">
        <f>IF(処理用!BF74&gt;0,処理用!BF74,"")</f>
        <v/>
      </c>
      <c r="R75" s="180" t="str">
        <f>IF(処理用!BG74&gt;0,処理用!BG74,"")</f>
        <v/>
      </c>
      <c r="S75" s="179" t="str">
        <f>IF((処理用!BH74+処理用!BI74)&gt;0,処理用!BH74+処理用!BI74,"")</f>
        <v/>
      </c>
      <c r="T75" s="180" t="str">
        <f>IF((処理用!BJ74+処理用!BK74)&gt;0,処理用!BJ74+処理用!BK74,"")</f>
        <v/>
      </c>
      <c r="U75" s="304"/>
      <c r="V75" s="301"/>
      <c r="W75" s="301"/>
      <c r="X75" s="210"/>
      <c r="Y75" s="211"/>
      <c r="Z75" s="332"/>
    </row>
    <row r="76" spans="1:26" ht="17" customHeight="1">
      <c r="A76" s="289"/>
      <c r="B76" s="289"/>
      <c r="C76" s="237">
        <f>DATE($D$2,$D$3-1,43)</f>
        <v>46124</v>
      </c>
      <c r="D76" s="167"/>
      <c r="E76" s="248" t="s">
        <v>126</v>
      </c>
      <c r="F76" s="168"/>
      <c r="G76" s="254"/>
      <c r="H76" s="248" t="s">
        <v>126</v>
      </c>
      <c r="I76" s="259"/>
      <c r="J76" s="104" t="str">
        <f>IF(処理用!AW75&gt;0,処理用!AW75,"")</f>
        <v/>
      </c>
      <c r="K76" s="185" t="str">
        <f>IF(処理用!AX75&gt;0,処理用!AX75,"")</f>
        <v/>
      </c>
      <c r="L76" s="186" t="str">
        <f>IF(処理用!AY75&gt;0,処理用!AY75,"")</f>
        <v/>
      </c>
      <c r="M76" s="185" t="str">
        <f>IF(処理用!AZ75&gt;0,処理用!AZ75,"")</f>
        <v/>
      </c>
      <c r="N76" s="187" t="str">
        <f>IF(処理用!BA75&gt;0,処理用!BA75,"")</f>
        <v/>
      </c>
      <c r="O76" s="185" t="str">
        <f>IF((処理用!BB75+処理用!BC75)&gt;0,処理用!BB75+処理用!BC75,"")</f>
        <v/>
      </c>
      <c r="P76" s="186" t="str">
        <f>IF((処理用!BD75+処理用!BE75)&gt;0,処理用!BD75+処理用!BE75,"")</f>
        <v/>
      </c>
      <c r="Q76" s="185" t="str">
        <f>IF(処理用!BF75&gt;0,処理用!BF75,"")</f>
        <v/>
      </c>
      <c r="R76" s="186" t="str">
        <f>IF(処理用!BG75&gt;0,処理用!BG75,"")</f>
        <v/>
      </c>
      <c r="S76" s="185" t="str">
        <f>IF((処理用!BH75+処理用!BI75)&gt;0,処理用!BH75+処理用!BI75,"")</f>
        <v/>
      </c>
      <c r="T76" s="186" t="str">
        <f>IF((処理用!BJ75+処理用!BK75)&gt;0,処理用!BJ75+処理用!BK75,"")</f>
        <v/>
      </c>
      <c r="U76" s="303">
        <f>SUM(K76:T78)+U73</f>
        <v>0</v>
      </c>
      <c r="V76" s="300">
        <f>VLOOKUP(C78,勤務形態オプション!$A$17:$C$24,2,FALSE)</f>
        <v>0</v>
      </c>
      <c r="W76" s="300">
        <f>VLOOKUP(C78,勤務形態オプション!$A$17:$C$24,3,FALSE)</f>
        <v>0</v>
      </c>
      <c r="X76" s="212"/>
      <c r="Y76" s="209"/>
      <c r="Z76" s="330"/>
    </row>
    <row r="77" spans="1:26" ht="17" customHeight="1">
      <c r="A77" s="289"/>
      <c r="B77" s="289"/>
      <c r="C77" s="158" t="str">
        <f>IF(C76&lt;&gt;"",TEXT(WEEKDAY(C76,1),"(aaa)"),"")</f>
        <v>(日)</v>
      </c>
      <c r="D77" s="159"/>
      <c r="E77" s="244" t="s">
        <v>126</v>
      </c>
      <c r="F77" s="160"/>
      <c r="G77" s="250"/>
      <c r="H77" s="244" t="s">
        <v>126</v>
      </c>
      <c r="I77" s="255"/>
      <c r="J77" s="103" t="str">
        <f>IF(処理用!AW76&gt;0,処理用!AW76,"")</f>
        <v/>
      </c>
      <c r="K77" s="182" t="str">
        <f>IF(処理用!AX76&gt;0,処理用!AX76,"")</f>
        <v/>
      </c>
      <c r="L77" s="183" t="str">
        <f>IF(処理用!AY76&gt;0,処理用!AY76,"")</f>
        <v/>
      </c>
      <c r="M77" s="182" t="str">
        <f>IF(処理用!AZ76&gt;0,処理用!AZ76,"")</f>
        <v/>
      </c>
      <c r="N77" s="184" t="str">
        <f>IF(処理用!BA76&gt;0,処理用!BA76,"")</f>
        <v/>
      </c>
      <c r="O77" s="179" t="str">
        <f>IF((処理用!BB76+処理用!BC76)&gt;0,処理用!BB76+処理用!BC76,"")</f>
        <v/>
      </c>
      <c r="P77" s="180" t="str">
        <f>IF((処理用!BD76+処理用!BE76)&gt;0,処理用!BD76+処理用!BE76,"")</f>
        <v/>
      </c>
      <c r="Q77" s="179" t="str">
        <f>IF(処理用!BF76&gt;0,処理用!BF76,"")</f>
        <v/>
      </c>
      <c r="R77" s="180" t="str">
        <f>IF(処理用!BG76&gt;0,処理用!BG76,"")</f>
        <v/>
      </c>
      <c r="S77" s="179" t="str">
        <f>IF((処理用!BH76+処理用!BI76)&gt;0,処理用!BH76+処理用!BI76,"")</f>
        <v/>
      </c>
      <c r="T77" s="180" t="str">
        <f>IF((処理用!BJ76+処理用!BK76)&gt;0,処理用!BJ76+処理用!BK76,"")</f>
        <v/>
      </c>
      <c r="U77" s="304"/>
      <c r="V77" s="300"/>
      <c r="W77" s="300"/>
      <c r="X77" s="207"/>
      <c r="Y77" s="209"/>
      <c r="Z77" s="331"/>
    </row>
    <row r="78" spans="1:26" ht="17" customHeight="1">
      <c r="A78" s="290"/>
      <c r="B78" s="290"/>
      <c r="C78" s="236"/>
      <c r="D78" s="161"/>
      <c r="E78" s="245" t="s">
        <v>126</v>
      </c>
      <c r="F78" s="162"/>
      <c r="G78" s="251"/>
      <c r="H78" s="245" t="s">
        <v>126</v>
      </c>
      <c r="I78" s="256"/>
      <c r="J78" s="103" t="str">
        <f>IF(処理用!AW77&gt;0,処理用!AW77,"")</f>
        <v/>
      </c>
      <c r="K78" s="182" t="str">
        <f>IF(処理用!AX77&gt;0,処理用!AX77,"")</f>
        <v/>
      </c>
      <c r="L78" s="183" t="str">
        <f>IF(処理用!AY77&gt;0,処理用!AY77,"")</f>
        <v/>
      </c>
      <c r="M78" s="182" t="str">
        <f>IF(処理用!AZ77&gt;0,処理用!AZ77,"")</f>
        <v/>
      </c>
      <c r="N78" s="184" t="str">
        <f>IF(処理用!BA77&gt;0,処理用!BA77,"")</f>
        <v/>
      </c>
      <c r="O78" s="179" t="str">
        <f>IF((処理用!BB77+処理用!BC77)&gt;0,処理用!BB77+処理用!BC77,"")</f>
        <v/>
      </c>
      <c r="P78" s="180" t="str">
        <f>IF((処理用!BD77+処理用!BE77)&gt;0,処理用!BD77+処理用!BE77,"")</f>
        <v/>
      </c>
      <c r="Q78" s="179" t="str">
        <f>IF(処理用!BF77&gt;0,処理用!BF77,"")</f>
        <v/>
      </c>
      <c r="R78" s="180" t="str">
        <f>IF(処理用!BG77&gt;0,処理用!BG77,"")</f>
        <v/>
      </c>
      <c r="S78" s="179" t="str">
        <f>IF((処理用!BH77+処理用!BI77)&gt;0,処理用!BH77+処理用!BI77,"")</f>
        <v/>
      </c>
      <c r="T78" s="180" t="str">
        <f>IF((処理用!BJ77+処理用!BK77)&gt;0,処理用!BJ77+処理用!BK77,"")</f>
        <v/>
      </c>
      <c r="U78" s="304"/>
      <c r="V78" s="301"/>
      <c r="W78" s="301"/>
      <c r="X78" s="213"/>
      <c r="Y78" s="211"/>
      <c r="Z78" s="332"/>
    </row>
    <row r="79" spans="1:26" ht="17" customHeight="1">
      <c r="A79" s="289"/>
      <c r="B79" s="289"/>
      <c r="C79" s="235">
        <f>DATE($D$2,$D$3-1,44)</f>
        <v>46125</v>
      </c>
      <c r="D79" s="163"/>
      <c r="E79" s="246" t="s">
        <v>126</v>
      </c>
      <c r="F79" s="164"/>
      <c r="G79" s="252"/>
      <c r="H79" s="246" t="s">
        <v>126</v>
      </c>
      <c r="I79" s="257"/>
      <c r="J79" s="104" t="str">
        <f>IF(処理用!AW78&gt;0,処理用!AW78,"")</f>
        <v/>
      </c>
      <c r="K79" s="185" t="str">
        <f>IF(処理用!AX78&gt;0,処理用!AX78,"")</f>
        <v/>
      </c>
      <c r="L79" s="186" t="str">
        <f>IF(処理用!AY78&gt;0,処理用!AY78,"")</f>
        <v/>
      </c>
      <c r="M79" s="185" t="str">
        <f>IF(処理用!AZ78&gt;0,処理用!AZ78,"")</f>
        <v/>
      </c>
      <c r="N79" s="187" t="str">
        <f>IF(処理用!BA78&gt;0,処理用!BA78,"")</f>
        <v/>
      </c>
      <c r="O79" s="185" t="str">
        <f>IF((処理用!BB78+処理用!BC78)&gt;0,処理用!BB78+処理用!BC78,"")</f>
        <v/>
      </c>
      <c r="P79" s="186" t="str">
        <f>IF((処理用!BD78+処理用!BE78)&gt;0,処理用!BD78+処理用!BE78,"")</f>
        <v/>
      </c>
      <c r="Q79" s="185" t="str">
        <f>IF(処理用!BF78&gt;0,処理用!BF78,"")</f>
        <v/>
      </c>
      <c r="R79" s="186" t="str">
        <f>IF(処理用!BG78&gt;0,処理用!BG78,"")</f>
        <v/>
      </c>
      <c r="S79" s="185" t="str">
        <f>IF((処理用!BH78+処理用!BI78)&gt;0,処理用!BH78+処理用!BI78,"")</f>
        <v/>
      </c>
      <c r="T79" s="186" t="str">
        <f>IF((処理用!BJ78+処理用!BK78)&gt;0,処理用!BJ78+処理用!BK78,"")</f>
        <v/>
      </c>
      <c r="U79" s="303">
        <f>SUM(K79:T81)+U76</f>
        <v>0</v>
      </c>
      <c r="V79" s="300">
        <f>VLOOKUP(C81,勤務形態オプション!$A$17:$C$24,2,FALSE)</f>
        <v>0</v>
      </c>
      <c r="W79" s="300">
        <f>VLOOKUP(C81,勤務形態オプション!$A$17:$C$24,3,FALSE)</f>
        <v>0</v>
      </c>
      <c r="X79" s="214"/>
      <c r="Y79" s="209"/>
      <c r="Z79" s="330"/>
    </row>
    <row r="80" spans="1:26" ht="17" customHeight="1">
      <c r="A80" s="289"/>
      <c r="B80" s="289"/>
      <c r="C80" s="158" t="str">
        <f>IF(C79&lt;&gt;"",TEXT(WEEKDAY(C79,1),"(aaa)"),"")</f>
        <v>(月)</v>
      </c>
      <c r="D80" s="159"/>
      <c r="E80" s="244" t="s">
        <v>126</v>
      </c>
      <c r="F80" s="160"/>
      <c r="G80" s="250"/>
      <c r="H80" s="244" t="s">
        <v>126</v>
      </c>
      <c r="I80" s="255"/>
      <c r="J80" s="103" t="str">
        <f>IF(処理用!AW79&gt;0,処理用!AW79,"")</f>
        <v/>
      </c>
      <c r="K80" s="182" t="str">
        <f>IF(処理用!AX79&gt;0,処理用!AX79,"")</f>
        <v/>
      </c>
      <c r="L80" s="183" t="str">
        <f>IF(処理用!AY79&gt;0,処理用!AY79,"")</f>
        <v/>
      </c>
      <c r="M80" s="182" t="str">
        <f>IF(処理用!AZ79&gt;0,処理用!AZ79,"")</f>
        <v/>
      </c>
      <c r="N80" s="184" t="str">
        <f>IF(処理用!BA79&gt;0,処理用!BA79,"")</f>
        <v/>
      </c>
      <c r="O80" s="179" t="str">
        <f>IF((処理用!BB79+処理用!BC79)&gt;0,処理用!BB79+処理用!BC79,"")</f>
        <v/>
      </c>
      <c r="P80" s="180" t="str">
        <f>IF((処理用!BD79+処理用!BE79)&gt;0,処理用!BD79+処理用!BE79,"")</f>
        <v/>
      </c>
      <c r="Q80" s="179" t="str">
        <f>IF(処理用!BF79&gt;0,処理用!BF79,"")</f>
        <v/>
      </c>
      <c r="R80" s="180" t="str">
        <f>IF(処理用!BG79&gt;0,処理用!BG79,"")</f>
        <v/>
      </c>
      <c r="S80" s="179" t="str">
        <f>IF((処理用!BH79+処理用!BI79)&gt;0,処理用!BH79+処理用!BI79,"")</f>
        <v/>
      </c>
      <c r="T80" s="180" t="str">
        <f>IF((処理用!BJ79+処理用!BK79)&gt;0,処理用!BJ79+処理用!BK79,"")</f>
        <v/>
      </c>
      <c r="U80" s="304"/>
      <c r="V80" s="300"/>
      <c r="W80" s="300"/>
      <c r="X80" s="207"/>
      <c r="Y80" s="209"/>
      <c r="Z80" s="331"/>
    </row>
    <row r="81" spans="1:26" ht="17" customHeight="1">
      <c r="A81" s="290"/>
      <c r="B81" s="290"/>
      <c r="C81" s="236"/>
      <c r="D81" s="165"/>
      <c r="E81" s="247" t="s">
        <v>126</v>
      </c>
      <c r="F81" s="166"/>
      <c r="G81" s="253"/>
      <c r="H81" s="247" t="s">
        <v>126</v>
      </c>
      <c r="I81" s="258"/>
      <c r="J81" s="103" t="str">
        <f>IF(処理用!AW80&gt;0,処理用!AW80,"")</f>
        <v/>
      </c>
      <c r="K81" s="182" t="str">
        <f>IF(処理用!AX80&gt;0,処理用!AX80,"")</f>
        <v/>
      </c>
      <c r="L81" s="183" t="str">
        <f>IF(処理用!AY80&gt;0,処理用!AY80,"")</f>
        <v/>
      </c>
      <c r="M81" s="182" t="str">
        <f>IF(処理用!AZ80&gt;0,処理用!AZ80,"")</f>
        <v/>
      </c>
      <c r="N81" s="184" t="str">
        <f>IF(処理用!BA80&gt;0,処理用!BA80,"")</f>
        <v/>
      </c>
      <c r="O81" s="179" t="str">
        <f>IF((処理用!BB80+処理用!BC80)&gt;0,処理用!BB80+処理用!BC80,"")</f>
        <v/>
      </c>
      <c r="P81" s="180" t="str">
        <f>IF((処理用!BD80+処理用!BE80)&gt;0,処理用!BD80+処理用!BE80,"")</f>
        <v/>
      </c>
      <c r="Q81" s="179" t="str">
        <f>IF(処理用!BF80&gt;0,処理用!BF80,"")</f>
        <v/>
      </c>
      <c r="R81" s="180" t="str">
        <f>IF(処理用!BG80&gt;0,処理用!BG80,"")</f>
        <v/>
      </c>
      <c r="S81" s="179" t="str">
        <f>IF((処理用!BH80+処理用!BI80)&gt;0,処理用!BH80+処理用!BI80,"")</f>
        <v/>
      </c>
      <c r="T81" s="180" t="str">
        <f>IF((処理用!BJ80+処理用!BK80)&gt;0,処理用!BJ80+処理用!BK80,"")</f>
        <v/>
      </c>
      <c r="U81" s="304"/>
      <c r="V81" s="301"/>
      <c r="W81" s="301"/>
      <c r="X81" s="210"/>
      <c r="Y81" s="211"/>
      <c r="Z81" s="332"/>
    </row>
    <row r="82" spans="1:26" ht="17" customHeight="1">
      <c r="A82" s="289"/>
      <c r="B82" s="289"/>
      <c r="C82" s="237">
        <f>DATE($D$2,$D$3-1,45)</f>
        <v>46126</v>
      </c>
      <c r="D82" s="167"/>
      <c r="E82" s="248" t="s">
        <v>126</v>
      </c>
      <c r="F82" s="168"/>
      <c r="G82" s="254"/>
      <c r="H82" s="248" t="s">
        <v>126</v>
      </c>
      <c r="I82" s="259"/>
      <c r="J82" s="104" t="str">
        <f>IF(処理用!AW81&gt;0,処理用!AW81,"")</f>
        <v/>
      </c>
      <c r="K82" s="185" t="str">
        <f>IF(処理用!AX81&gt;0,処理用!AX81,"")</f>
        <v/>
      </c>
      <c r="L82" s="186" t="str">
        <f>IF(処理用!AY81&gt;0,処理用!AY81,"")</f>
        <v/>
      </c>
      <c r="M82" s="185" t="str">
        <f>IF(処理用!AZ81&gt;0,処理用!AZ81,"")</f>
        <v/>
      </c>
      <c r="N82" s="187" t="str">
        <f>IF(処理用!BA81&gt;0,処理用!BA81,"")</f>
        <v/>
      </c>
      <c r="O82" s="185" t="str">
        <f>IF((処理用!BB81+処理用!BC81)&gt;0,処理用!BB81+処理用!BC81,"")</f>
        <v/>
      </c>
      <c r="P82" s="186" t="str">
        <f>IF((処理用!BD81+処理用!BE81)&gt;0,処理用!BD81+処理用!BE81,"")</f>
        <v/>
      </c>
      <c r="Q82" s="185" t="str">
        <f>IF(処理用!BF81&gt;0,処理用!BF81,"")</f>
        <v/>
      </c>
      <c r="R82" s="186" t="str">
        <f>IF(処理用!BG81&gt;0,処理用!BG81,"")</f>
        <v/>
      </c>
      <c r="S82" s="185" t="str">
        <f>IF((処理用!BH81+処理用!BI81)&gt;0,処理用!BH81+処理用!BI81,"")</f>
        <v/>
      </c>
      <c r="T82" s="186" t="str">
        <f>IF((処理用!BJ81+処理用!BK81)&gt;0,処理用!BJ81+処理用!BK81,"")</f>
        <v/>
      </c>
      <c r="U82" s="303">
        <f>SUM(K82:T84)+U79</f>
        <v>0</v>
      </c>
      <c r="V82" s="300">
        <f>VLOOKUP(C84,勤務形態オプション!$A$17:$C$24,2,FALSE)</f>
        <v>0</v>
      </c>
      <c r="W82" s="300">
        <f>VLOOKUP(C84,勤務形態オプション!$A$17:$C$24,3,FALSE)</f>
        <v>0</v>
      </c>
      <c r="X82" s="212"/>
      <c r="Y82" s="209"/>
      <c r="Z82" s="330"/>
    </row>
    <row r="83" spans="1:26" ht="17" customHeight="1">
      <c r="A83" s="289"/>
      <c r="B83" s="289"/>
      <c r="C83" s="158" t="str">
        <f>IF(C82&lt;&gt;"",TEXT(WEEKDAY(C82,1),"(aaa)"),"")</f>
        <v>(火)</v>
      </c>
      <c r="D83" s="159"/>
      <c r="E83" s="244" t="s">
        <v>126</v>
      </c>
      <c r="F83" s="160"/>
      <c r="G83" s="250"/>
      <c r="H83" s="244" t="s">
        <v>126</v>
      </c>
      <c r="I83" s="255"/>
      <c r="J83" s="103" t="str">
        <f>IF(処理用!AW82&gt;0,処理用!AW82,"")</f>
        <v/>
      </c>
      <c r="K83" s="182" t="str">
        <f>IF(処理用!AX82&gt;0,処理用!AX82,"")</f>
        <v/>
      </c>
      <c r="L83" s="183" t="str">
        <f>IF(処理用!AY82&gt;0,処理用!AY82,"")</f>
        <v/>
      </c>
      <c r="M83" s="182" t="str">
        <f>IF(処理用!AZ82&gt;0,処理用!AZ82,"")</f>
        <v/>
      </c>
      <c r="N83" s="184" t="str">
        <f>IF(処理用!BA82&gt;0,処理用!BA82,"")</f>
        <v/>
      </c>
      <c r="O83" s="179" t="str">
        <f>IF((処理用!BB82+処理用!BC82)&gt;0,処理用!BB82+処理用!BC82,"")</f>
        <v/>
      </c>
      <c r="P83" s="180" t="str">
        <f>IF((処理用!BD82+処理用!BE82)&gt;0,処理用!BD82+処理用!BE82,"")</f>
        <v/>
      </c>
      <c r="Q83" s="179" t="str">
        <f>IF(処理用!BF82&gt;0,処理用!BF82,"")</f>
        <v/>
      </c>
      <c r="R83" s="180" t="str">
        <f>IF(処理用!BG82&gt;0,処理用!BG82,"")</f>
        <v/>
      </c>
      <c r="S83" s="179" t="str">
        <f>IF((処理用!BH82+処理用!BI82)&gt;0,処理用!BH82+処理用!BI82,"")</f>
        <v/>
      </c>
      <c r="T83" s="180" t="str">
        <f>IF((処理用!BJ82+処理用!BK82)&gt;0,処理用!BJ82+処理用!BK82,"")</f>
        <v/>
      </c>
      <c r="U83" s="304"/>
      <c r="V83" s="300"/>
      <c r="W83" s="300"/>
      <c r="X83" s="207"/>
      <c r="Y83" s="209"/>
      <c r="Z83" s="331"/>
    </row>
    <row r="84" spans="1:26" ht="17" customHeight="1">
      <c r="A84" s="290"/>
      <c r="B84" s="290"/>
      <c r="C84" s="236"/>
      <c r="D84" s="161"/>
      <c r="E84" s="245" t="s">
        <v>126</v>
      </c>
      <c r="F84" s="162"/>
      <c r="G84" s="251"/>
      <c r="H84" s="245" t="s">
        <v>126</v>
      </c>
      <c r="I84" s="256"/>
      <c r="J84" s="103" t="str">
        <f>IF(処理用!AW83&gt;0,処理用!AW83,"")</f>
        <v/>
      </c>
      <c r="K84" s="182" t="str">
        <f>IF(処理用!AX83&gt;0,処理用!AX83,"")</f>
        <v/>
      </c>
      <c r="L84" s="183" t="str">
        <f>IF(処理用!AY83&gt;0,処理用!AY83,"")</f>
        <v/>
      </c>
      <c r="M84" s="182" t="str">
        <f>IF(処理用!AZ83&gt;0,処理用!AZ83,"")</f>
        <v/>
      </c>
      <c r="N84" s="184" t="str">
        <f>IF(処理用!BA83&gt;0,処理用!BA83,"")</f>
        <v/>
      </c>
      <c r="O84" s="179" t="str">
        <f>IF((処理用!BB83+処理用!BC83)&gt;0,処理用!BB83+処理用!BC83,"")</f>
        <v/>
      </c>
      <c r="P84" s="180" t="str">
        <f>IF((処理用!BD83+処理用!BE83)&gt;0,処理用!BD83+処理用!BE83,"")</f>
        <v/>
      </c>
      <c r="Q84" s="179" t="str">
        <f>IF(処理用!BF83&gt;0,処理用!BF83,"")</f>
        <v/>
      </c>
      <c r="R84" s="180" t="str">
        <f>IF(処理用!BG83&gt;0,処理用!BG83,"")</f>
        <v/>
      </c>
      <c r="S84" s="179" t="str">
        <f>IF((処理用!BH83+処理用!BI83)&gt;0,処理用!BH83+処理用!BI83,"")</f>
        <v/>
      </c>
      <c r="T84" s="180" t="str">
        <f>IF((処理用!BJ83+処理用!BK83)&gt;0,処理用!BJ83+処理用!BK83,"")</f>
        <v/>
      </c>
      <c r="U84" s="304"/>
      <c r="V84" s="301"/>
      <c r="W84" s="301"/>
      <c r="X84" s="213"/>
      <c r="Y84" s="211"/>
      <c r="Z84" s="332"/>
    </row>
    <row r="85" spans="1:26" ht="17" customHeight="1">
      <c r="A85" s="289"/>
      <c r="B85" s="289"/>
      <c r="C85" s="235">
        <f>DATE($D$2,$D$3-1,46)</f>
        <v>46127</v>
      </c>
      <c r="D85" s="163"/>
      <c r="E85" s="246" t="s">
        <v>126</v>
      </c>
      <c r="F85" s="164"/>
      <c r="G85" s="252"/>
      <c r="H85" s="246" t="s">
        <v>126</v>
      </c>
      <c r="I85" s="257"/>
      <c r="J85" s="104" t="str">
        <f>IF(処理用!AW84&gt;0,処理用!AW84,"")</f>
        <v/>
      </c>
      <c r="K85" s="185" t="str">
        <f>IF(処理用!AX84&gt;0,処理用!AX84,"")</f>
        <v/>
      </c>
      <c r="L85" s="186" t="str">
        <f>IF(処理用!AY84&gt;0,処理用!AY84,"")</f>
        <v/>
      </c>
      <c r="M85" s="185" t="str">
        <f>IF(処理用!AZ84&gt;0,処理用!AZ84,"")</f>
        <v/>
      </c>
      <c r="N85" s="187" t="str">
        <f>IF(処理用!BA84&gt;0,処理用!BA84,"")</f>
        <v/>
      </c>
      <c r="O85" s="185" t="str">
        <f>IF((処理用!BB84+処理用!BC84)&gt;0,処理用!BB84+処理用!BC84,"")</f>
        <v/>
      </c>
      <c r="P85" s="186" t="str">
        <f>IF((処理用!BD84+処理用!BE84)&gt;0,処理用!BD84+処理用!BE84,"")</f>
        <v/>
      </c>
      <c r="Q85" s="185" t="str">
        <f>IF(処理用!BF84&gt;0,処理用!BF84,"")</f>
        <v/>
      </c>
      <c r="R85" s="186" t="str">
        <f>IF(処理用!BG84&gt;0,処理用!BG84,"")</f>
        <v/>
      </c>
      <c r="S85" s="185" t="str">
        <f>IF((処理用!BH84+処理用!BI84)&gt;0,処理用!BH84+処理用!BI84,"")</f>
        <v/>
      </c>
      <c r="T85" s="186" t="str">
        <f>IF((処理用!BJ84+処理用!BK84)&gt;0,処理用!BJ84+処理用!BK84,"")</f>
        <v/>
      </c>
      <c r="U85" s="303">
        <f>SUM(K85:T87)+U82</f>
        <v>0</v>
      </c>
      <c r="V85" s="300">
        <f>VLOOKUP(C87,勤務形態オプション!$A$17:$C$24,2,FALSE)</f>
        <v>0</v>
      </c>
      <c r="W85" s="300">
        <f>VLOOKUP(C87,勤務形態オプション!$A$17:$C$24,3,FALSE)</f>
        <v>0</v>
      </c>
      <c r="X85" s="214"/>
      <c r="Y85" s="209"/>
      <c r="Z85" s="330"/>
    </row>
    <row r="86" spans="1:26" ht="17" customHeight="1">
      <c r="A86" s="289"/>
      <c r="B86" s="289"/>
      <c r="C86" s="158" t="str">
        <f>IF(C85&lt;&gt;"",TEXT(WEEKDAY(C85,1),"(aaa)"),"")</f>
        <v>(水)</v>
      </c>
      <c r="D86" s="159"/>
      <c r="E86" s="244" t="s">
        <v>126</v>
      </c>
      <c r="F86" s="160"/>
      <c r="G86" s="250"/>
      <c r="H86" s="244" t="s">
        <v>126</v>
      </c>
      <c r="I86" s="255"/>
      <c r="J86" s="103" t="str">
        <f>IF(処理用!AW85&gt;0,処理用!AW85,"")</f>
        <v/>
      </c>
      <c r="K86" s="182" t="str">
        <f>IF(処理用!AX85&gt;0,処理用!AX85,"")</f>
        <v/>
      </c>
      <c r="L86" s="183" t="str">
        <f>IF(処理用!AY85&gt;0,処理用!AY85,"")</f>
        <v/>
      </c>
      <c r="M86" s="182" t="str">
        <f>IF(処理用!AZ85&gt;0,処理用!AZ85,"")</f>
        <v/>
      </c>
      <c r="N86" s="184" t="str">
        <f>IF(処理用!BA85&gt;0,処理用!BA85,"")</f>
        <v/>
      </c>
      <c r="O86" s="179" t="str">
        <f>IF((処理用!BB85+処理用!BC85)&gt;0,処理用!BB85+処理用!BC85,"")</f>
        <v/>
      </c>
      <c r="P86" s="180" t="str">
        <f>IF((処理用!BD85+処理用!BE85)&gt;0,処理用!BD85+処理用!BE85,"")</f>
        <v/>
      </c>
      <c r="Q86" s="179" t="str">
        <f>IF(処理用!BF85&gt;0,処理用!BF85,"")</f>
        <v/>
      </c>
      <c r="R86" s="180" t="str">
        <f>IF(処理用!BG85&gt;0,処理用!BG85,"")</f>
        <v/>
      </c>
      <c r="S86" s="179" t="str">
        <f>IF((処理用!BH85+処理用!BI85)&gt;0,処理用!BH85+処理用!BI85,"")</f>
        <v/>
      </c>
      <c r="T86" s="180" t="str">
        <f>IF((処理用!BJ85+処理用!BK85)&gt;0,処理用!BJ85+処理用!BK85,"")</f>
        <v/>
      </c>
      <c r="U86" s="304"/>
      <c r="V86" s="300"/>
      <c r="W86" s="300"/>
      <c r="X86" s="207"/>
      <c r="Y86" s="209"/>
      <c r="Z86" s="331"/>
    </row>
    <row r="87" spans="1:26" ht="17" customHeight="1">
      <c r="A87" s="290"/>
      <c r="B87" s="290"/>
      <c r="C87" s="236"/>
      <c r="D87" s="165"/>
      <c r="E87" s="247" t="s">
        <v>126</v>
      </c>
      <c r="F87" s="166"/>
      <c r="G87" s="253"/>
      <c r="H87" s="247" t="s">
        <v>126</v>
      </c>
      <c r="I87" s="258"/>
      <c r="J87" s="103" t="str">
        <f>IF(処理用!AW86&gt;0,処理用!AW86,"")</f>
        <v/>
      </c>
      <c r="K87" s="182" t="str">
        <f>IF(処理用!AX86&gt;0,処理用!AX86,"")</f>
        <v/>
      </c>
      <c r="L87" s="183" t="str">
        <f>IF(処理用!AY86&gt;0,処理用!AY86,"")</f>
        <v/>
      </c>
      <c r="M87" s="182" t="str">
        <f>IF(処理用!AZ86&gt;0,処理用!AZ86,"")</f>
        <v/>
      </c>
      <c r="N87" s="184" t="str">
        <f>IF(処理用!BA86&gt;0,処理用!BA86,"")</f>
        <v/>
      </c>
      <c r="O87" s="179" t="str">
        <f>IF((処理用!BB86+処理用!BC86)&gt;0,処理用!BB86+処理用!BC86,"")</f>
        <v/>
      </c>
      <c r="P87" s="180" t="str">
        <f>IF((処理用!BD86+処理用!BE86)&gt;0,処理用!BD86+処理用!BE86,"")</f>
        <v/>
      </c>
      <c r="Q87" s="179" t="str">
        <f>IF(処理用!BF86&gt;0,処理用!BF86,"")</f>
        <v/>
      </c>
      <c r="R87" s="180" t="str">
        <f>IF(処理用!BG86&gt;0,処理用!BG86,"")</f>
        <v/>
      </c>
      <c r="S87" s="179" t="str">
        <f>IF((処理用!BH86+処理用!BI86)&gt;0,処理用!BH86+処理用!BI86,"")</f>
        <v/>
      </c>
      <c r="T87" s="180" t="str">
        <f>IF((処理用!BJ86+処理用!BK86)&gt;0,処理用!BJ86+処理用!BK86,"")</f>
        <v/>
      </c>
      <c r="U87" s="304"/>
      <c r="V87" s="301"/>
      <c r="W87" s="301"/>
      <c r="X87" s="210"/>
      <c r="Y87" s="211"/>
      <c r="Z87" s="332"/>
    </row>
    <row r="88" spans="1:26" ht="17" customHeight="1">
      <c r="A88" s="289"/>
      <c r="B88" s="289"/>
      <c r="C88" s="237">
        <f>DATE($D$2,$D$3-1,47)</f>
        <v>46128</v>
      </c>
      <c r="D88" s="167"/>
      <c r="E88" s="248" t="s">
        <v>126</v>
      </c>
      <c r="F88" s="168"/>
      <c r="G88" s="254"/>
      <c r="H88" s="248" t="s">
        <v>126</v>
      </c>
      <c r="I88" s="259"/>
      <c r="J88" s="104" t="str">
        <f>IF(処理用!AW87&gt;0,処理用!AW87,"")</f>
        <v/>
      </c>
      <c r="K88" s="185" t="str">
        <f>IF(処理用!AX87&gt;0,処理用!AX87,"")</f>
        <v/>
      </c>
      <c r="L88" s="186" t="str">
        <f>IF(処理用!AY87&gt;0,処理用!AY87,"")</f>
        <v/>
      </c>
      <c r="M88" s="185" t="str">
        <f>IF(処理用!AZ87&gt;0,処理用!AZ87,"")</f>
        <v/>
      </c>
      <c r="N88" s="187" t="str">
        <f>IF(処理用!BA87&gt;0,処理用!BA87,"")</f>
        <v/>
      </c>
      <c r="O88" s="185" t="str">
        <f>IF((処理用!BB87+処理用!BC87)&gt;0,処理用!BB87+処理用!BC87,"")</f>
        <v/>
      </c>
      <c r="P88" s="186" t="str">
        <f>IF((処理用!BD87+処理用!BE87)&gt;0,処理用!BD87+処理用!BE87,"")</f>
        <v/>
      </c>
      <c r="Q88" s="185" t="str">
        <f>IF(処理用!BF87&gt;0,処理用!BF87,"")</f>
        <v/>
      </c>
      <c r="R88" s="186" t="str">
        <f>IF(処理用!BG87&gt;0,処理用!BG87,"")</f>
        <v/>
      </c>
      <c r="S88" s="185" t="str">
        <f>IF((処理用!BH87+処理用!BI87)&gt;0,処理用!BH87+処理用!BI87,"")</f>
        <v/>
      </c>
      <c r="T88" s="186" t="str">
        <f>IF((処理用!BJ87+処理用!BK87)&gt;0,処理用!BJ87+処理用!BK87,"")</f>
        <v/>
      </c>
      <c r="U88" s="303">
        <f>SUM(K88:T90)+U85</f>
        <v>0</v>
      </c>
      <c r="V88" s="300">
        <f>VLOOKUP(C90,勤務形態オプション!$A$17:$C$24,2,FALSE)</f>
        <v>0</v>
      </c>
      <c r="W88" s="300">
        <f>VLOOKUP(C90,勤務形態オプション!$A$17:$C$24,3,FALSE)</f>
        <v>0</v>
      </c>
      <c r="X88" s="212"/>
      <c r="Y88" s="209"/>
      <c r="Z88" s="330"/>
    </row>
    <row r="89" spans="1:26" ht="17" customHeight="1">
      <c r="A89" s="289"/>
      <c r="B89" s="289"/>
      <c r="C89" s="158" t="str">
        <f>IF(C88&lt;&gt;"",TEXT(WEEKDAY(C88,1),"(aaa)"),"")</f>
        <v>(木)</v>
      </c>
      <c r="D89" s="159"/>
      <c r="E89" s="244" t="s">
        <v>126</v>
      </c>
      <c r="F89" s="160"/>
      <c r="G89" s="250"/>
      <c r="H89" s="244" t="s">
        <v>126</v>
      </c>
      <c r="I89" s="255"/>
      <c r="J89" s="103" t="str">
        <f>IF(処理用!AW88&gt;0,処理用!AW88,"")</f>
        <v/>
      </c>
      <c r="K89" s="182" t="str">
        <f>IF(処理用!AX88&gt;0,処理用!AX88,"")</f>
        <v/>
      </c>
      <c r="L89" s="183" t="str">
        <f>IF(処理用!AY88&gt;0,処理用!AY88,"")</f>
        <v/>
      </c>
      <c r="M89" s="182" t="str">
        <f>IF(処理用!AZ88&gt;0,処理用!AZ88,"")</f>
        <v/>
      </c>
      <c r="N89" s="184" t="str">
        <f>IF(処理用!BA88&gt;0,処理用!BA88,"")</f>
        <v/>
      </c>
      <c r="O89" s="179" t="str">
        <f>IF((処理用!BB88+処理用!BC88)&gt;0,処理用!BB88+処理用!BC88,"")</f>
        <v/>
      </c>
      <c r="P89" s="180" t="str">
        <f>IF((処理用!BD88+処理用!BE88)&gt;0,処理用!BD88+処理用!BE88,"")</f>
        <v/>
      </c>
      <c r="Q89" s="179" t="str">
        <f>IF(処理用!BF88&gt;0,処理用!BF88,"")</f>
        <v/>
      </c>
      <c r="R89" s="180" t="str">
        <f>IF(処理用!BG88&gt;0,処理用!BG88,"")</f>
        <v/>
      </c>
      <c r="S89" s="179" t="str">
        <f>IF((処理用!BH88+処理用!BI88)&gt;0,処理用!BH88+処理用!BI88,"")</f>
        <v/>
      </c>
      <c r="T89" s="180" t="str">
        <f>IF((処理用!BJ88+処理用!BK88)&gt;0,処理用!BJ88+処理用!BK88,"")</f>
        <v/>
      </c>
      <c r="U89" s="304"/>
      <c r="V89" s="300"/>
      <c r="W89" s="300"/>
      <c r="X89" s="207"/>
      <c r="Y89" s="209"/>
      <c r="Z89" s="331"/>
    </row>
    <row r="90" spans="1:26" ht="17" customHeight="1">
      <c r="A90" s="290"/>
      <c r="B90" s="290"/>
      <c r="C90" s="236"/>
      <c r="D90" s="161"/>
      <c r="E90" s="245" t="s">
        <v>126</v>
      </c>
      <c r="F90" s="162"/>
      <c r="G90" s="251"/>
      <c r="H90" s="245" t="s">
        <v>126</v>
      </c>
      <c r="I90" s="256"/>
      <c r="J90" s="103" t="str">
        <f>IF(処理用!AW89&gt;0,処理用!AW89,"")</f>
        <v/>
      </c>
      <c r="K90" s="182" t="str">
        <f>IF(処理用!AX89&gt;0,処理用!AX89,"")</f>
        <v/>
      </c>
      <c r="L90" s="183" t="str">
        <f>IF(処理用!AY89&gt;0,処理用!AY89,"")</f>
        <v/>
      </c>
      <c r="M90" s="182" t="str">
        <f>IF(処理用!AZ89&gt;0,処理用!AZ89,"")</f>
        <v/>
      </c>
      <c r="N90" s="184" t="str">
        <f>IF(処理用!BA89&gt;0,処理用!BA89,"")</f>
        <v/>
      </c>
      <c r="O90" s="179" t="str">
        <f>IF((処理用!BB89+処理用!BC89)&gt;0,処理用!BB89+処理用!BC89,"")</f>
        <v/>
      </c>
      <c r="P90" s="180" t="str">
        <f>IF((処理用!BD89+処理用!BE89)&gt;0,処理用!BD89+処理用!BE89,"")</f>
        <v/>
      </c>
      <c r="Q90" s="179" t="str">
        <f>IF(処理用!BF89&gt;0,処理用!BF89,"")</f>
        <v/>
      </c>
      <c r="R90" s="180" t="str">
        <f>IF(処理用!BG89&gt;0,処理用!BG89,"")</f>
        <v/>
      </c>
      <c r="S90" s="179" t="str">
        <f>IF((処理用!BH89+処理用!BI89)&gt;0,処理用!BH89+処理用!BI89,"")</f>
        <v/>
      </c>
      <c r="T90" s="180" t="str">
        <f>IF((処理用!BJ89+処理用!BK89)&gt;0,処理用!BJ89+処理用!BK89,"")</f>
        <v/>
      </c>
      <c r="U90" s="304"/>
      <c r="V90" s="301"/>
      <c r="W90" s="301"/>
      <c r="X90" s="213"/>
      <c r="Y90" s="211"/>
      <c r="Z90" s="332"/>
    </row>
    <row r="91" spans="1:26" ht="17" customHeight="1">
      <c r="A91" s="289"/>
      <c r="B91" s="289"/>
      <c r="C91" s="235">
        <f>DATE($D$2,$D$3-1,48)</f>
        <v>46129</v>
      </c>
      <c r="D91" s="163"/>
      <c r="E91" s="246" t="s">
        <v>126</v>
      </c>
      <c r="F91" s="164"/>
      <c r="G91" s="252"/>
      <c r="H91" s="246" t="s">
        <v>126</v>
      </c>
      <c r="I91" s="257"/>
      <c r="J91" s="104" t="str">
        <f>IF(処理用!AW90&gt;0,処理用!AW90,"")</f>
        <v/>
      </c>
      <c r="K91" s="185" t="str">
        <f>IF(処理用!AX90&gt;0,処理用!AX90,"")</f>
        <v/>
      </c>
      <c r="L91" s="186" t="str">
        <f>IF(処理用!AY90&gt;0,処理用!AY90,"")</f>
        <v/>
      </c>
      <c r="M91" s="185" t="str">
        <f>IF(処理用!AZ90&gt;0,処理用!AZ90,"")</f>
        <v/>
      </c>
      <c r="N91" s="187" t="str">
        <f>IF(処理用!BA90&gt;0,処理用!BA90,"")</f>
        <v/>
      </c>
      <c r="O91" s="185" t="str">
        <f>IF((処理用!BB90+処理用!BC90)&gt;0,処理用!BB90+処理用!BC90,"")</f>
        <v/>
      </c>
      <c r="P91" s="186" t="str">
        <f>IF((処理用!BD90+処理用!BE90)&gt;0,処理用!BD90+処理用!BE90,"")</f>
        <v/>
      </c>
      <c r="Q91" s="185" t="str">
        <f>IF(処理用!BF90&gt;0,処理用!BF90,"")</f>
        <v/>
      </c>
      <c r="R91" s="186" t="str">
        <f>IF(処理用!BG90&gt;0,処理用!BG90,"")</f>
        <v/>
      </c>
      <c r="S91" s="185" t="str">
        <f>IF((処理用!BH90+処理用!BI90)&gt;0,処理用!BH90+処理用!BI90,"")</f>
        <v/>
      </c>
      <c r="T91" s="186" t="str">
        <f>IF((処理用!BJ90+処理用!BK90)&gt;0,処理用!BJ90+処理用!BK90,"")</f>
        <v/>
      </c>
      <c r="U91" s="303">
        <f>SUM(K91:T93)+U88</f>
        <v>0</v>
      </c>
      <c r="V91" s="300">
        <f>VLOOKUP(C93,勤務形態オプション!$A$17:$C$24,2,FALSE)</f>
        <v>0</v>
      </c>
      <c r="W91" s="300">
        <f>VLOOKUP(C93,勤務形態オプション!$A$17:$C$24,3,FALSE)</f>
        <v>0</v>
      </c>
      <c r="X91" s="214"/>
      <c r="Y91" s="209"/>
      <c r="Z91" s="330"/>
    </row>
    <row r="92" spans="1:26" ht="17" customHeight="1">
      <c r="A92" s="289"/>
      <c r="B92" s="289"/>
      <c r="C92" s="158" t="str">
        <f>IF(C91&lt;&gt;"",TEXT(WEEKDAY(C91,1),"(aaa)"),"")</f>
        <v>(金)</v>
      </c>
      <c r="D92" s="159"/>
      <c r="E92" s="244" t="s">
        <v>126</v>
      </c>
      <c r="F92" s="160"/>
      <c r="G92" s="250"/>
      <c r="H92" s="244" t="s">
        <v>126</v>
      </c>
      <c r="I92" s="255"/>
      <c r="J92" s="103" t="str">
        <f>IF(処理用!AW91&gt;0,処理用!AW91,"")</f>
        <v/>
      </c>
      <c r="K92" s="182" t="str">
        <f>IF(処理用!AX91&gt;0,処理用!AX91,"")</f>
        <v/>
      </c>
      <c r="L92" s="183" t="str">
        <f>IF(処理用!AY91&gt;0,処理用!AY91,"")</f>
        <v/>
      </c>
      <c r="M92" s="182" t="str">
        <f>IF(処理用!AZ91&gt;0,処理用!AZ91,"")</f>
        <v/>
      </c>
      <c r="N92" s="184" t="str">
        <f>IF(処理用!BA91&gt;0,処理用!BA91,"")</f>
        <v/>
      </c>
      <c r="O92" s="179" t="str">
        <f>IF((処理用!BB91+処理用!BC91)&gt;0,処理用!BB91+処理用!BC91,"")</f>
        <v/>
      </c>
      <c r="P92" s="180" t="str">
        <f>IF((処理用!BD91+処理用!BE91)&gt;0,処理用!BD91+処理用!BE91,"")</f>
        <v/>
      </c>
      <c r="Q92" s="179" t="str">
        <f>IF(処理用!BF91&gt;0,処理用!BF91,"")</f>
        <v/>
      </c>
      <c r="R92" s="180" t="str">
        <f>IF(処理用!BG91&gt;0,処理用!BG91,"")</f>
        <v/>
      </c>
      <c r="S92" s="179" t="str">
        <f>IF((処理用!BH91+処理用!BI91)&gt;0,処理用!BH91+処理用!BI91,"")</f>
        <v/>
      </c>
      <c r="T92" s="180" t="str">
        <f>IF((処理用!BJ91+処理用!BK91)&gt;0,処理用!BJ91+処理用!BK91,"")</f>
        <v/>
      </c>
      <c r="U92" s="304"/>
      <c r="V92" s="300"/>
      <c r="W92" s="300"/>
      <c r="X92" s="207"/>
      <c r="Y92" s="209"/>
      <c r="Z92" s="331"/>
    </row>
    <row r="93" spans="1:26" ht="17" customHeight="1">
      <c r="A93" s="290"/>
      <c r="B93" s="290"/>
      <c r="C93" s="236"/>
      <c r="D93" s="165"/>
      <c r="E93" s="247" t="s">
        <v>126</v>
      </c>
      <c r="F93" s="166"/>
      <c r="G93" s="253"/>
      <c r="H93" s="247" t="s">
        <v>126</v>
      </c>
      <c r="I93" s="258"/>
      <c r="J93" s="103" t="str">
        <f>IF(処理用!AW92&gt;0,処理用!AW92,"")</f>
        <v/>
      </c>
      <c r="K93" s="182" t="str">
        <f>IF(処理用!AX92&gt;0,処理用!AX92,"")</f>
        <v/>
      </c>
      <c r="L93" s="183" t="str">
        <f>IF(処理用!AY92&gt;0,処理用!AY92,"")</f>
        <v/>
      </c>
      <c r="M93" s="182" t="str">
        <f>IF(処理用!AZ92&gt;0,処理用!AZ92,"")</f>
        <v/>
      </c>
      <c r="N93" s="184" t="str">
        <f>IF(処理用!BA92&gt;0,処理用!BA92,"")</f>
        <v/>
      </c>
      <c r="O93" s="179" t="str">
        <f>IF((処理用!BB92+処理用!BC92)&gt;0,処理用!BB92+処理用!BC92,"")</f>
        <v/>
      </c>
      <c r="P93" s="180" t="str">
        <f>IF((処理用!BD92+処理用!BE92)&gt;0,処理用!BD92+処理用!BE92,"")</f>
        <v/>
      </c>
      <c r="Q93" s="179" t="str">
        <f>IF(処理用!BF92&gt;0,処理用!BF92,"")</f>
        <v/>
      </c>
      <c r="R93" s="180" t="str">
        <f>IF(処理用!BG92&gt;0,処理用!BG92,"")</f>
        <v/>
      </c>
      <c r="S93" s="179" t="str">
        <f>IF((処理用!BH92+処理用!BI92)&gt;0,処理用!BH92+処理用!BI92,"")</f>
        <v/>
      </c>
      <c r="T93" s="180" t="str">
        <f>IF((処理用!BJ92+処理用!BK92)&gt;0,処理用!BJ92+処理用!BK92,"")</f>
        <v/>
      </c>
      <c r="U93" s="304"/>
      <c r="V93" s="301"/>
      <c r="W93" s="301"/>
      <c r="X93" s="210"/>
      <c r="Y93" s="211"/>
      <c r="Z93" s="332"/>
    </row>
    <row r="94" spans="1:26" ht="17" customHeight="1">
      <c r="A94" s="289"/>
      <c r="B94" s="289"/>
      <c r="C94" s="237">
        <f>IF(DAY(DATE($D$2,$D$3-1,49))&lt;21,DATE($D$2,$D$3-1,49),"")</f>
        <v>46130</v>
      </c>
      <c r="D94" s="167"/>
      <c r="E94" s="248" t="s">
        <v>126</v>
      </c>
      <c r="F94" s="168"/>
      <c r="G94" s="254"/>
      <c r="H94" s="248" t="s">
        <v>126</v>
      </c>
      <c r="I94" s="259"/>
      <c r="J94" s="104" t="str">
        <f>IF(処理用!AW93&gt;0,処理用!AW93,"")</f>
        <v/>
      </c>
      <c r="K94" s="185" t="str">
        <f>IF(処理用!AX93&gt;0,処理用!AX93,"")</f>
        <v/>
      </c>
      <c r="L94" s="186" t="str">
        <f>IF(処理用!AY93&gt;0,処理用!AY93,"")</f>
        <v/>
      </c>
      <c r="M94" s="185" t="str">
        <f>IF(処理用!AZ93&gt;0,処理用!AZ93,"")</f>
        <v/>
      </c>
      <c r="N94" s="187" t="str">
        <f>IF(処理用!BA93&gt;0,処理用!BA93,"")</f>
        <v/>
      </c>
      <c r="O94" s="185" t="str">
        <f>IF((処理用!BB93+処理用!BC93)&gt;0,処理用!BB93+処理用!BC93,"")</f>
        <v/>
      </c>
      <c r="P94" s="186" t="str">
        <f>IF((処理用!BD93+処理用!BE93)&gt;0,処理用!BD93+処理用!BE93,"")</f>
        <v/>
      </c>
      <c r="Q94" s="185" t="str">
        <f>IF(処理用!BF93&gt;0,処理用!BF93,"")</f>
        <v/>
      </c>
      <c r="R94" s="186" t="str">
        <f>IF(処理用!BG93&gt;0,処理用!BG93,"")</f>
        <v/>
      </c>
      <c r="S94" s="185" t="str">
        <f>IF((処理用!BH93+処理用!BI93)&gt;0,処理用!BH93+処理用!BI93,"")</f>
        <v/>
      </c>
      <c r="T94" s="186" t="str">
        <f>IF((処理用!BJ93+処理用!BK93)&gt;0,処理用!BJ93+処理用!BK93,"")</f>
        <v/>
      </c>
      <c r="U94" s="303">
        <f>SUM(K94:T96)+U91</f>
        <v>0</v>
      </c>
      <c r="V94" s="300">
        <f>VLOOKUP(C96,勤務形態オプション!$A$17:$C$24,2,FALSE)</f>
        <v>0</v>
      </c>
      <c r="W94" s="300">
        <f>VLOOKUP(C96,勤務形態オプション!$A$17:$C$24,3,FALSE)</f>
        <v>0</v>
      </c>
      <c r="X94" s="212"/>
      <c r="Y94" s="209"/>
      <c r="Z94" s="330"/>
    </row>
    <row r="95" spans="1:26" ht="17" customHeight="1">
      <c r="A95" s="289"/>
      <c r="B95" s="289"/>
      <c r="C95" s="158" t="str">
        <f>IF(C94&lt;&gt;"",TEXT(WEEKDAY(C94,1),"(aaa)"),"")</f>
        <v>(土)</v>
      </c>
      <c r="D95" s="159"/>
      <c r="E95" s="244" t="s">
        <v>126</v>
      </c>
      <c r="F95" s="160"/>
      <c r="G95" s="250"/>
      <c r="H95" s="244" t="s">
        <v>126</v>
      </c>
      <c r="I95" s="255"/>
      <c r="J95" s="103" t="str">
        <f>IF(処理用!AW94&gt;0,処理用!AW94,"")</f>
        <v/>
      </c>
      <c r="K95" s="182" t="str">
        <f>IF(処理用!AX94&gt;0,処理用!AX94,"")</f>
        <v/>
      </c>
      <c r="L95" s="183" t="str">
        <f>IF(処理用!AY94&gt;0,処理用!AY94,"")</f>
        <v/>
      </c>
      <c r="M95" s="182" t="str">
        <f>IF(処理用!AZ94&gt;0,処理用!AZ94,"")</f>
        <v/>
      </c>
      <c r="N95" s="184" t="str">
        <f>IF(処理用!BA94&gt;0,処理用!BA94,"")</f>
        <v/>
      </c>
      <c r="O95" s="179" t="str">
        <f>IF((処理用!BB94+処理用!BC94)&gt;0,処理用!BB94+処理用!BC94,"")</f>
        <v/>
      </c>
      <c r="P95" s="180" t="str">
        <f>IF((処理用!BD94+処理用!BE94)&gt;0,処理用!BD94+処理用!BE94,"")</f>
        <v/>
      </c>
      <c r="Q95" s="179" t="str">
        <f>IF(処理用!BF94&gt;0,処理用!BF94,"")</f>
        <v/>
      </c>
      <c r="R95" s="180" t="str">
        <f>IF(処理用!BG94&gt;0,処理用!BG94,"")</f>
        <v/>
      </c>
      <c r="S95" s="179" t="str">
        <f>IF((処理用!BH94+処理用!BI94)&gt;0,処理用!BH94+処理用!BI94,"")</f>
        <v/>
      </c>
      <c r="T95" s="180" t="str">
        <f>IF((処理用!BJ94+処理用!BK94)&gt;0,処理用!BJ94+処理用!BK94,"")</f>
        <v/>
      </c>
      <c r="U95" s="304"/>
      <c r="V95" s="300"/>
      <c r="W95" s="300"/>
      <c r="X95" s="207"/>
      <c r="Y95" s="209"/>
      <c r="Z95" s="331"/>
    </row>
    <row r="96" spans="1:26" ht="17" customHeight="1">
      <c r="A96" s="290"/>
      <c r="B96" s="290"/>
      <c r="C96" s="236"/>
      <c r="D96" s="161"/>
      <c r="E96" s="245" t="s">
        <v>126</v>
      </c>
      <c r="F96" s="162"/>
      <c r="G96" s="251"/>
      <c r="H96" s="245" t="s">
        <v>126</v>
      </c>
      <c r="I96" s="256"/>
      <c r="J96" s="103" t="str">
        <f>IF(処理用!AW95&gt;0,処理用!AW95,"")</f>
        <v/>
      </c>
      <c r="K96" s="182" t="str">
        <f>IF(処理用!AX95&gt;0,処理用!AX95,"")</f>
        <v/>
      </c>
      <c r="L96" s="183" t="str">
        <f>IF(処理用!AY95&gt;0,処理用!AY95,"")</f>
        <v/>
      </c>
      <c r="M96" s="182" t="str">
        <f>IF(処理用!AZ95&gt;0,処理用!AZ95,"")</f>
        <v/>
      </c>
      <c r="N96" s="184" t="str">
        <f>IF(処理用!BA95&gt;0,処理用!BA95,"")</f>
        <v/>
      </c>
      <c r="O96" s="179" t="str">
        <f>IF((処理用!BB95+処理用!BC95)&gt;0,処理用!BB95+処理用!BC95,"")</f>
        <v/>
      </c>
      <c r="P96" s="180" t="str">
        <f>IF((処理用!BD95+処理用!BE95)&gt;0,処理用!BD95+処理用!BE95,"")</f>
        <v/>
      </c>
      <c r="Q96" s="179" t="str">
        <f>IF(処理用!BF95&gt;0,処理用!BF95,"")</f>
        <v/>
      </c>
      <c r="R96" s="180" t="str">
        <f>IF(処理用!BG95&gt;0,処理用!BG95,"")</f>
        <v/>
      </c>
      <c r="S96" s="179" t="str">
        <f>IF((処理用!BH95+処理用!BI95)&gt;0,処理用!BH95+処理用!BI95,"")</f>
        <v/>
      </c>
      <c r="T96" s="180" t="str">
        <f>IF((処理用!BJ95+処理用!BK95)&gt;0,処理用!BJ95+処理用!BK95,"")</f>
        <v/>
      </c>
      <c r="U96" s="304"/>
      <c r="V96" s="301"/>
      <c r="W96" s="301"/>
      <c r="X96" s="213"/>
      <c r="Y96" s="211"/>
      <c r="Z96" s="332"/>
    </row>
    <row r="97" spans="1:26" ht="17" customHeight="1">
      <c r="A97" s="289"/>
      <c r="B97" s="289"/>
      <c r="C97" s="235">
        <f>IF(DAY(DATE($D$2,$D$3-1,50))&lt;21,DATE($D$2,$D$3-1,50),"")</f>
        <v>46131</v>
      </c>
      <c r="D97" s="163"/>
      <c r="E97" s="246" t="s">
        <v>126</v>
      </c>
      <c r="F97" s="164"/>
      <c r="G97" s="252"/>
      <c r="H97" s="246" t="s">
        <v>126</v>
      </c>
      <c r="I97" s="257"/>
      <c r="J97" s="104" t="str">
        <f>IF(処理用!AW96&gt;0,処理用!AW96,"")</f>
        <v/>
      </c>
      <c r="K97" s="185" t="str">
        <f>IF(処理用!AX96&gt;0,処理用!AX96,"")</f>
        <v/>
      </c>
      <c r="L97" s="186" t="str">
        <f>IF(処理用!AY96&gt;0,処理用!AY96,"")</f>
        <v/>
      </c>
      <c r="M97" s="185" t="str">
        <f>IF(処理用!AZ96&gt;0,処理用!AZ96,"")</f>
        <v/>
      </c>
      <c r="N97" s="187" t="str">
        <f>IF(処理用!BA96&gt;0,処理用!BA96,"")</f>
        <v/>
      </c>
      <c r="O97" s="185" t="str">
        <f>IF((処理用!BB96+処理用!BC96)&gt;0,処理用!BB96+処理用!BC96,"")</f>
        <v/>
      </c>
      <c r="P97" s="186" t="str">
        <f>IF((処理用!BD96+処理用!BE96)&gt;0,処理用!BD96+処理用!BE96,"")</f>
        <v/>
      </c>
      <c r="Q97" s="185" t="str">
        <f>IF(処理用!BF96&gt;0,処理用!BF96,"")</f>
        <v/>
      </c>
      <c r="R97" s="186" t="str">
        <f>IF(処理用!BG96&gt;0,処理用!BG96,"")</f>
        <v/>
      </c>
      <c r="S97" s="185" t="str">
        <f>IF((処理用!BH96+処理用!BI96)&gt;0,処理用!BH96+処理用!BI96,"")</f>
        <v/>
      </c>
      <c r="T97" s="186" t="str">
        <f>IF((処理用!BJ96+処理用!BK96)&gt;0,処理用!BJ96+処理用!BK96,"")</f>
        <v/>
      </c>
      <c r="U97" s="303">
        <f>SUM(K97:T99)+U94</f>
        <v>0</v>
      </c>
      <c r="V97" s="300">
        <f>VLOOKUP(C99,勤務形態オプション!$A$17:$C$24,2,FALSE)</f>
        <v>0</v>
      </c>
      <c r="W97" s="300">
        <f>VLOOKUP(C99,勤務形態オプション!$A$17:$C$24,3,FALSE)</f>
        <v>0</v>
      </c>
      <c r="X97" s="214"/>
      <c r="Y97" s="209"/>
      <c r="Z97" s="330"/>
    </row>
    <row r="98" spans="1:26" ht="17" customHeight="1">
      <c r="A98" s="289"/>
      <c r="B98" s="289"/>
      <c r="C98" s="158" t="str">
        <f>IF(C97&lt;&gt;"",TEXT(WEEKDAY(C97,1),"(aaa)"),"")</f>
        <v>(日)</v>
      </c>
      <c r="D98" s="159"/>
      <c r="E98" s="244" t="s">
        <v>126</v>
      </c>
      <c r="F98" s="160"/>
      <c r="G98" s="250"/>
      <c r="H98" s="244" t="s">
        <v>126</v>
      </c>
      <c r="I98" s="255"/>
      <c r="J98" s="103" t="str">
        <f>IF(処理用!AW97&gt;0,処理用!AW97,"")</f>
        <v/>
      </c>
      <c r="K98" s="182" t="str">
        <f>IF(処理用!AX97&gt;0,処理用!AX97,"")</f>
        <v/>
      </c>
      <c r="L98" s="183" t="str">
        <f>IF(処理用!AY97&gt;0,処理用!AY97,"")</f>
        <v/>
      </c>
      <c r="M98" s="182" t="str">
        <f>IF(処理用!AZ97&gt;0,処理用!AZ97,"")</f>
        <v/>
      </c>
      <c r="N98" s="184" t="str">
        <f>IF(処理用!BA97&gt;0,処理用!BA97,"")</f>
        <v/>
      </c>
      <c r="O98" s="179" t="str">
        <f>IF((処理用!BB97+処理用!BC97)&gt;0,処理用!BB97+処理用!BC97,"")</f>
        <v/>
      </c>
      <c r="P98" s="180" t="str">
        <f>IF((処理用!BD97+処理用!BE97)&gt;0,処理用!BD97+処理用!BE97,"")</f>
        <v/>
      </c>
      <c r="Q98" s="179" t="str">
        <f>IF(処理用!BF97&gt;0,処理用!BF97,"")</f>
        <v/>
      </c>
      <c r="R98" s="180" t="str">
        <f>IF(処理用!BG97&gt;0,処理用!BG97,"")</f>
        <v/>
      </c>
      <c r="S98" s="179" t="str">
        <f>IF((処理用!BH97+処理用!BI97)&gt;0,処理用!BH97+処理用!BI97,"")</f>
        <v/>
      </c>
      <c r="T98" s="180" t="str">
        <f>IF((処理用!BJ97+処理用!BK97)&gt;0,処理用!BJ97+処理用!BK97,"")</f>
        <v/>
      </c>
      <c r="U98" s="304"/>
      <c r="V98" s="300"/>
      <c r="W98" s="300"/>
      <c r="X98" s="207"/>
      <c r="Y98" s="209"/>
      <c r="Z98" s="331"/>
    </row>
    <row r="99" spans="1:26" ht="17" customHeight="1">
      <c r="A99" s="290"/>
      <c r="B99" s="290"/>
      <c r="C99" s="236"/>
      <c r="D99" s="165"/>
      <c r="E99" s="247" t="s">
        <v>126</v>
      </c>
      <c r="F99" s="166"/>
      <c r="G99" s="253"/>
      <c r="H99" s="247" t="s">
        <v>126</v>
      </c>
      <c r="I99" s="258"/>
      <c r="J99" s="103" t="str">
        <f>IF(処理用!AW98&gt;0,処理用!AW98,"")</f>
        <v/>
      </c>
      <c r="K99" s="182" t="str">
        <f>IF(処理用!AX98&gt;0,処理用!AX98,"")</f>
        <v/>
      </c>
      <c r="L99" s="183" t="str">
        <f>IF(処理用!AY98&gt;0,処理用!AY98,"")</f>
        <v/>
      </c>
      <c r="M99" s="182" t="str">
        <f>IF(処理用!AZ98&gt;0,処理用!AZ98,"")</f>
        <v/>
      </c>
      <c r="N99" s="184" t="str">
        <f>IF(処理用!BA98&gt;0,処理用!BA98,"")</f>
        <v/>
      </c>
      <c r="O99" s="179" t="str">
        <f>IF((処理用!BB98+処理用!BC98)&gt;0,処理用!BB98+処理用!BC98,"")</f>
        <v/>
      </c>
      <c r="P99" s="180" t="str">
        <f>IF((処理用!BD98+処理用!BE98)&gt;0,処理用!BD98+処理用!BE98,"")</f>
        <v/>
      </c>
      <c r="Q99" s="179" t="str">
        <f>IF(処理用!BF98&gt;0,処理用!BF98,"")</f>
        <v/>
      </c>
      <c r="R99" s="180" t="str">
        <f>IF(処理用!BG98&gt;0,処理用!BG98,"")</f>
        <v/>
      </c>
      <c r="S99" s="179" t="str">
        <f>IF((処理用!BH98+処理用!BI98)&gt;0,処理用!BH98+処理用!BI98,"")</f>
        <v/>
      </c>
      <c r="T99" s="180" t="str">
        <f>IF((処理用!BJ98+処理用!BK98)&gt;0,処理用!BJ98+処理用!BK98,"")</f>
        <v/>
      </c>
      <c r="U99" s="304"/>
      <c r="V99" s="301"/>
      <c r="W99" s="301"/>
      <c r="X99" s="210"/>
      <c r="Y99" s="211"/>
      <c r="Z99" s="332"/>
    </row>
    <row r="100" spans="1:26" ht="17" customHeight="1">
      <c r="A100" s="289"/>
      <c r="B100" s="289"/>
      <c r="C100" s="237">
        <f>IF(DAY(DATE($D$2,$D$3-1,51))&lt;21,DATE($D$2,$D$3-1,51),"")</f>
        <v>46132</v>
      </c>
      <c r="D100" s="167"/>
      <c r="E100" s="248" t="s">
        <v>126</v>
      </c>
      <c r="F100" s="168"/>
      <c r="G100" s="254"/>
      <c r="H100" s="248" t="s">
        <v>126</v>
      </c>
      <c r="I100" s="259"/>
      <c r="J100" s="104" t="str">
        <f>IF(処理用!AW99&gt;0,処理用!AW99,"")</f>
        <v/>
      </c>
      <c r="K100" s="185" t="str">
        <f>IF(処理用!AX99&gt;0,処理用!AX99,"")</f>
        <v/>
      </c>
      <c r="L100" s="186" t="str">
        <f>IF(処理用!AY99&gt;0,処理用!AY99,"")</f>
        <v/>
      </c>
      <c r="M100" s="185" t="str">
        <f>IF(処理用!AZ99&gt;0,処理用!AZ99,"")</f>
        <v/>
      </c>
      <c r="N100" s="187" t="str">
        <f>IF(処理用!BA99&gt;0,処理用!BA99,"")</f>
        <v/>
      </c>
      <c r="O100" s="185" t="str">
        <f>IF((処理用!BB99+処理用!BC99)&gt;0,処理用!BB99+処理用!BC99,"")</f>
        <v/>
      </c>
      <c r="P100" s="186" t="str">
        <f>IF((処理用!BD99+処理用!BE99)&gt;0,処理用!BD99+処理用!BE99,"")</f>
        <v/>
      </c>
      <c r="Q100" s="185" t="str">
        <f>IF(処理用!BF99&gt;0,処理用!BF99,"")</f>
        <v/>
      </c>
      <c r="R100" s="186" t="str">
        <f>IF(処理用!BG99&gt;0,処理用!BG99,"")</f>
        <v/>
      </c>
      <c r="S100" s="185" t="str">
        <f>IF((処理用!BH99+処理用!BI99)&gt;0,処理用!BH99+処理用!BI99,"")</f>
        <v/>
      </c>
      <c r="T100" s="186" t="str">
        <f>IF((処理用!BJ99+処理用!BK99)&gt;0,処理用!BJ99+処理用!BK99,"")</f>
        <v/>
      </c>
      <c r="U100" s="303">
        <f>SUM(K100:T102)+U97</f>
        <v>0</v>
      </c>
      <c r="V100" s="300">
        <f>VLOOKUP(C102,勤務形態オプション!$A$17:$C$24,2,FALSE)</f>
        <v>0</v>
      </c>
      <c r="W100" s="300">
        <f>VLOOKUP(C102,勤務形態オプション!$A$17:$C$24,3,FALSE)</f>
        <v>0</v>
      </c>
      <c r="X100" s="212"/>
      <c r="Y100" s="209"/>
      <c r="Z100" s="330"/>
    </row>
    <row r="101" spans="1:26" ht="17" customHeight="1">
      <c r="A101" s="289"/>
      <c r="B101" s="289"/>
      <c r="C101" s="158" t="str">
        <f>IF(C100&lt;&gt;"",TEXT(WEEKDAY(C100,1),"(aaa)"),"")</f>
        <v>(月)</v>
      </c>
      <c r="D101" s="159"/>
      <c r="E101" s="244" t="s">
        <v>126</v>
      </c>
      <c r="F101" s="160"/>
      <c r="G101" s="250"/>
      <c r="H101" s="244" t="s">
        <v>126</v>
      </c>
      <c r="I101" s="255"/>
      <c r="J101" s="103" t="str">
        <f>IF(処理用!AW100&gt;0,処理用!AW100,"")</f>
        <v/>
      </c>
      <c r="K101" s="182" t="str">
        <f>IF(処理用!AX100&gt;0,処理用!AX100,"")</f>
        <v/>
      </c>
      <c r="L101" s="183" t="str">
        <f>IF(処理用!AY100&gt;0,処理用!AY100,"")</f>
        <v/>
      </c>
      <c r="M101" s="182" t="str">
        <f>IF(処理用!AZ100&gt;0,処理用!AZ100,"")</f>
        <v/>
      </c>
      <c r="N101" s="184" t="str">
        <f>IF(処理用!BA100&gt;0,処理用!BA100,"")</f>
        <v/>
      </c>
      <c r="O101" s="179" t="str">
        <f>IF((処理用!BB100+処理用!BC100)&gt;0,処理用!BB100+処理用!BC100,"")</f>
        <v/>
      </c>
      <c r="P101" s="180" t="str">
        <f>IF((処理用!BD100+処理用!BE100)&gt;0,処理用!BD100+処理用!BE100,"")</f>
        <v/>
      </c>
      <c r="Q101" s="179" t="str">
        <f>IF(処理用!BF100&gt;0,処理用!BF100,"")</f>
        <v/>
      </c>
      <c r="R101" s="180" t="str">
        <f>IF(処理用!BG100&gt;0,処理用!BG100,"")</f>
        <v/>
      </c>
      <c r="S101" s="179" t="str">
        <f>IF((処理用!BH100+処理用!BI100)&gt;0,処理用!BH100+処理用!BI100,"")</f>
        <v/>
      </c>
      <c r="T101" s="180" t="str">
        <f>IF((処理用!BJ100+処理用!BK100)&gt;0,処理用!BJ100+処理用!BK100,"")</f>
        <v/>
      </c>
      <c r="U101" s="304"/>
      <c r="V101" s="300"/>
      <c r="W101" s="300"/>
      <c r="X101" s="207"/>
      <c r="Y101" s="209"/>
      <c r="Z101" s="331"/>
    </row>
    <row r="102" spans="1:26" ht="17" customHeight="1">
      <c r="A102" s="290"/>
      <c r="B102" s="290"/>
      <c r="C102" s="236"/>
      <c r="D102" s="161"/>
      <c r="E102" s="245" t="s">
        <v>126</v>
      </c>
      <c r="F102" s="162"/>
      <c r="G102" s="251"/>
      <c r="H102" s="245" t="s">
        <v>126</v>
      </c>
      <c r="I102" s="256"/>
      <c r="J102" s="103" t="str">
        <f>IF(処理用!AW101&gt;0,処理用!AW101,"")</f>
        <v/>
      </c>
      <c r="K102" s="182" t="str">
        <f>IF(処理用!AX101&gt;0,処理用!AX101,"")</f>
        <v/>
      </c>
      <c r="L102" s="183" t="str">
        <f>IF(処理用!AY101&gt;0,処理用!AY101,"")</f>
        <v/>
      </c>
      <c r="M102" s="182" t="str">
        <f>IF(処理用!AZ101&gt;0,処理用!AZ101,"")</f>
        <v/>
      </c>
      <c r="N102" s="184" t="str">
        <f>IF(処理用!BA101&gt;0,処理用!BA101,"")</f>
        <v/>
      </c>
      <c r="O102" s="179" t="str">
        <f>IF((処理用!BB101+処理用!BC101)&gt;0,処理用!BB101+処理用!BC101,"")</f>
        <v/>
      </c>
      <c r="P102" s="180" t="str">
        <f>IF((処理用!BD101+処理用!BE101)&gt;0,処理用!BD101+処理用!BE101,"")</f>
        <v/>
      </c>
      <c r="Q102" s="179" t="str">
        <f>IF(処理用!BF101&gt;0,処理用!BF101,"")</f>
        <v/>
      </c>
      <c r="R102" s="180" t="str">
        <f>IF(処理用!BG101&gt;0,処理用!BG101,"")</f>
        <v/>
      </c>
      <c r="S102" s="179" t="str">
        <f>IF((処理用!BH101+処理用!BI101)&gt;0,処理用!BH101+処理用!BI101,"")</f>
        <v/>
      </c>
      <c r="T102" s="180" t="str">
        <f>IF((処理用!BJ101+処理用!BK101)&gt;0,処理用!BJ101+処理用!BK101,"")</f>
        <v/>
      </c>
      <c r="U102" s="304"/>
      <c r="V102" s="301"/>
      <c r="W102" s="301"/>
      <c r="X102" s="210"/>
      <c r="Y102" s="209"/>
      <c r="Z102" s="332"/>
    </row>
    <row r="103" spans="1:26" ht="50.25" customHeight="1" thickBot="1">
      <c r="A103" s="63"/>
      <c r="B103" s="142"/>
      <c r="C103" s="20"/>
      <c r="D103" s="238"/>
      <c r="E103" s="326" t="s">
        <v>44</v>
      </c>
      <c r="F103" s="327"/>
      <c r="G103" s="143"/>
      <c r="H103" s="154"/>
      <c r="I103" s="142"/>
      <c r="J103" s="188">
        <f t="shared" ref="J103:T103" si="0">SUM(J10:J102)</f>
        <v>0</v>
      </c>
      <c r="K103" s="189">
        <f t="shared" si="0"/>
        <v>0</v>
      </c>
      <c r="L103" s="190">
        <f t="shared" si="0"/>
        <v>0</v>
      </c>
      <c r="M103" s="189">
        <f t="shared" si="0"/>
        <v>0</v>
      </c>
      <c r="N103" s="190">
        <f t="shared" si="0"/>
        <v>0</v>
      </c>
      <c r="O103" s="189">
        <f t="shared" si="0"/>
        <v>0</v>
      </c>
      <c r="P103" s="190">
        <f t="shared" si="0"/>
        <v>0</v>
      </c>
      <c r="Q103" s="189">
        <f t="shared" si="0"/>
        <v>0</v>
      </c>
      <c r="R103" s="190">
        <f t="shared" si="0"/>
        <v>0</v>
      </c>
      <c r="S103" s="189">
        <f t="shared" si="0"/>
        <v>0</v>
      </c>
      <c r="T103" s="190">
        <f t="shared" si="0"/>
        <v>0</v>
      </c>
      <c r="U103" s="191">
        <f>U100</f>
        <v>0</v>
      </c>
      <c r="V103" s="219">
        <f>COUNTA(V10:V102)-COUNTIF(V10:V102,0)</f>
        <v>0</v>
      </c>
      <c r="W103" s="219">
        <f>COUNTA(W10:W102)-COUNTIF(W10:W102,0)</f>
        <v>0</v>
      </c>
      <c r="X103" s="143"/>
      <c r="Y103" s="142"/>
      <c r="Z103" s="63"/>
    </row>
    <row r="104" spans="1:26" ht="15" thickBot="1"/>
    <row r="105" spans="1:26" ht="39" customHeight="1">
      <c r="E105" s="152"/>
      <c r="F105" s="291" t="s">
        <v>45</v>
      </c>
      <c r="G105" s="292"/>
      <c r="H105" s="293"/>
      <c r="I105" s="110" t="s">
        <v>46</v>
      </c>
      <c r="J105" s="110" t="s">
        <v>47</v>
      </c>
      <c r="K105" s="197" t="s">
        <v>165</v>
      </c>
      <c r="L105" s="197" t="s">
        <v>191</v>
      </c>
      <c r="M105" s="197" t="s">
        <v>192</v>
      </c>
      <c r="N105" s="197" t="s">
        <v>193</v>
      </c>
      <c r="O105" s="260" t="s">
        <v>194</v>
      </c>
      <c r="Q105" s="305" t="s">
        <v>51</v>
      </c>
      <c r="R105" s="306"/>
      <c r="S105" s="198" t="s">
        <v>53</v>
      </c>
      <c r="T105" s="199" t="s">
        <v>52</v>
      </c>
      <c r="U105" s="198" t="s">
        <v>54</v>
      </c>
      <c r="X105" s="202" t="s">
        <v>55</v>
      </c>
      <c r="Y105" s="115"/>
    </row>
    <row r="106" spans="1:26" ht="14.25" customHeight="1">
      <c r="E106" s="152"/>
      <c r="F106" s="294"/>
      <c r="G106" s="295"/>
      <c r="H106" s="296"/>
      <c r="I106" s="105" t="s">
        <v>138</v>
      </c>
      <c r="J106" s="105" t="s">
        <v>138</v>
      </c>
      <c r="K106" s="105" t="s">
        <v>138</v>
      </c>
      <c r="L106" s="105" t="s">
        <v>138</v>
      </c>
      <c r="M106" s="105" t="s">
        <v>138</v>
      </c>
      <c r="N106" s="105" t="s">
        <v>138</v>
      </c>
      <c r="O106" s="107" t="s">
        <v>138</v>
      </c>
      <c r="Q106" s="307"/>
      <c r="R106" s="308"/>
      <c r="S106" s="105" t="s">
        <v>138</v>
      </c>
      <c r="T106" s="105" t="s">
        <v>138</v>
      </c>
      <c r="U106" s="105" t="s">
        <v>138</v>
      </c>
      <c r="V106" s="108"/>
      <c r="W106" s="108"/>
      <c r="X106" s="109" t="s">
        <v>139</v>
      </c>
      <c r="Y106" s="116"/>
    </row>
    <row r="107" spans="1:26" ht="48" customHeight="1" thickBot="1">
      <c r="E107" s="152"/>
      <c r="F107" s="297"/>
      <c r="G107" s="298"/>
      <c r="H107" s="299"/>
      <c r="I107" s="195">
        <f>J103</f>
        <v>0</v>
      </c>
      <c r="J107" s="195">
        <f>K103</f>
        <v>0</v>
      </c>
      <c r="K107" s="195">
        <f>M103</f>
        <v>0</v>
      </c>
      <c r="L107" s="195">
        <f>L103+N103+O103+R103</f>
        <v>0</v>
      </c>
      <c r="M107" s="195">
        <f>Q103</f>
        <v>0</v>
      </c>
      <c r="N107" s="195">
        <f>S103</f>
        <v>0</v>
      </c>
      <c r="O107" s="196">
        <f>P103+T103</f>
        <v>0</v>
      </c>
      <c r="Q107" s="309"/>
      <c r="R107" s="310"/>
      <c r="S107" s="200">
        <f>N103+P103</f>
        <v>0</v>
      </c>
      <c r="T107" s="200">
        <f>L103</f>
        <v>0</v>
      </c>
      <c r="U107" s="200">
        <f>R103+T103</f>
        <v>0</v>
      </c>
      <c r="X107" s="201">
        <f>T107*0.5+S107*0.25+U107*0.15</f>
        <v>0</v>
      </c>
      <c r="Y107" s="117"/>
    </row>
    <row r="108" spans="1:26" ht="8.25" customHeight="1"/>
    <row r="109" spans="1:26" ht="17">
      <c r="D109" s="192" t="s">
        <v>145</v>
      </c>
      <c r="E109" s="193">
        <v>1</v>
      </c>
      <c r="F109" s="194" t="s">
        <v>156</v>
      </c>
      <c r="G109" s="149"/>
      <c r="H109" s="149"/>
      <c r="I109" s="149"/>
    </row>
    <row r="110" spans="1:26" ht="17">
      <c r="D110" s="194"/>
      <c r="E110" s="193">
        <v>2</v>
      </c>
      <c r="F110" s="194" t="s">
        <v>157</v>
      </c>
      <c r="G110" s="149"/>
      <c r="H110" s="149"/>
      <c r="I110" s="149"/>
      <c r="Q110" s="64"/>
      <c r="R110" s="64"/>
      <c r="S110" s="64"/>
      <c r="X110" s="64"/>
      <c r="Y110" s="64"/>
    </row>
    <row r="111" spans="1:26" ht="17">
      <c r="D111" s="194"/>
      <c r="E111" s="242">
        <v>3</v>
      </c>
      <c r="F111" s="262" t="s">
        <v>200</v>
      </c>
      <c r="G111" s="263"/>
      <c r="H111" s="263"/>
      <c r="I111" s="263"/>
      <c r="Q111" s="243"/>
      <c r="R111" s="243"/>
    </row>
    <row r="112" spans="1:26" ht="22">
      <c r="D112" s="194"/>
      <c r="E112" s="242">
        <v>4</v>
      </c>
      <c r="F112" s="264" t="s">
        <v>187</v>
      </c>
      <c r="Q112" s="243"/>
      <c r="R112" s="243"/>
      <c r="X112" s="226">
        <f>Y2</f>
        <v>0</v>
      </c>
      <c r="Y112" s="302">
        <f>Y3</f>
        <v>0</v>
      </c>
    </row>
    <row r="113" spans="4:25" ht="17">
      <c r="D113" s="194"/>
      <c r="E113" s="193">
        <v>5</v>
      </c>
      <c r="F113" s="194" t="s">
        <v>158</v>
      </c>
      <c r="G113" s="149"/>
      <c r="H113" s="149"/>
      <c r="I113" s="149"/>
      <c r="Y113" s="302"/>
    </row>
    <row r="114" spans="4:25" ht="17">
      <c r="D114" s="194"/>
      <c r="F114" s="194" t="s">
        <v>146</v>
      </c>
      <c r="G114" s="149"/>
      <c r="H114" s="149"/>
      <c r="L114" s="194" t="s">
        <v>208</v>
      </c>
    </row>
    <row r="115" spans="4:25" ht="17">
      <c r="D115" s="149"/>
      <c r="E115" s="193">
        <v>6</v>
      </c>
      <c r="F115" s="194" t="s">
        <v>162</v>
      </c>
      <c r="G115" s="149"/>
      <c r="H115" s="149"/>
      <c r="I115" s="149"/>
    </row>
    <row r="116" spans="4:25" ht="17.25" customHeight="1">
      <c r="E116" s="265">
        <v>7</v>
      </c>
      <c r="F116" s="265" t="s">
        <v>207</v>
      </c>
      <c r="G116" s="205"/>
      <c r="H116" s="205"/>
      <c r="I116" s="205"/>
      <c r="J116" s="205"/>
      <c r="K116" s="205"/>
      <c r="L116" s="205"/>
      <c r="M116" s="205"/>
      <c r="N116" s="205"/>
      <c r="O116" s="205"/>
      <c r="P116" s="205"/>
      <c r="Q116" s="205"/>
      <c r="R116" s="205"/>
      <c r="S116" s="205"/>
      <c r="T116" s="205"/>
      <c r="U116" s="205"/>
      <c r="V116" s="205"/>
      <c r="W116" s="205"/>
      <c r="X116" s="205"/>
    </row>
    <row r="117" spans="4:25" ht="17">
      <c r="F117" s="265" t="s">
        <v>206</v>
      </c>
    </row>
    <row r="118" spans="4:25" ht="17">
      <c r="F118" s="265"/>
    </row>
  </sheetData>
  <sheetProtection formatColumns="0" formatRows="0"/>
  <mergeCells count="211">
    <mergeCell ref="V82:V84"/>
    <mergeCell ref="W82:W84"/>
    <mergeCell ref="V85:V87"/>
    <mergeCell ref="W85:W87"/>
    <mergeCell ref="V70:V72"/>
    <mergeCell ref="W70:W72"/>
    <mergeCell ref="V10:V12"/>
    <mergeCell ref="W10:W12"/>
    <mergeCell ref="V79:V81"/>
    <mergeCell ref="W79:W81"/>
    <mergeCell ref="V73:V75"/>
    <mergeCell ref="W73:W75"/>
    <mergeCell ref="V76:V78"/>
    <mergeCell ref="W76:W78"/>
    <mergeCell ref="V67:V69"/>
    <mergeCell ref="W67:W69"/>
    <mergeCell ref="V43:V45"/>
    <mergeCell ref="W43:W45"/>
    <mergeCell ref="V46:V48"/>
    <mergeCell ref="W46:W48"/>
    <mergeCell ref="V61:V63"/>
    <mergeCell ref="W61:W63"/>
    <mergeCell ref="V64:V66"/>
    <mergeCell ref="W64:W66"/>
    <mergeCell ref="V55:V57"/>
    <mergeCell ref="W55:W57"/>
    <mergeCell ref="V58:V60"/>
    <mergeCell ref="W58:W60"/>
    <mergeCell ref="F1:Q1"/>
    <mergeCell ref="V6:W6"/>
    <mergeCell ref="V7:V8"/>
    <mergeCell ref="W7:W8"/>
    <mergeCell ref="M7:N7"/>
    <mergeCell ref="O7:P7"/>
    <mergeCell ref="V25:V27"/>
    <mergeCell ref="W25:W27"/>
    <mergeCell ref="V28:V30"/>
    <mergeCell ref="W28:W30"/>
    <mergeCell ref="V19:V21"/>
    <mergeCell ref="W19:W21"/>
    <mergeCell ref="V22:V24"/>
    <mergeCell ref="W22:W24"/>
    <mergeCell ref="J6:U6"/>
    <mergeCell ref="U10:U12"/>
    <mergeCell ref="G5:I9"/>
    <mergeCell ref="Q3:U3"/>
    <mergeCell ref="Z100:Z102"/>
    <mergeCell ref="Z79:Z81"/>
    <mergeCell ref="Z82:Z84"/>
    <mergeCell ref="Z85:Z87"/>
    <mergeCell ref="Z88:Z90"/>
    <mergeCell ref="Q7:R7"/>
    <mergeCell ref="J7:J8"/>
    <mergeCell ref="K7:K8"/>
    <mergeCell ref="J5:W5"/>
    <mergeCell ref="Z91:Z93"/>
    <mergeCell ref="Z94:Z96"/>
    <mergeCell ref="Z67:Z69"/>
    <mergeCell ref="Z70:Z72"/>
    <mergeCell ref="Z73:Z75"/>
    <mergeCell ref="Z76:Z78"/>
    <mergeCell ref="V13:V15"/>
    <mergeCell ref="W13:W15"/>
    <mergeCell ref="V16:V18"/>
    <mergeCell ref="W16:W18"/>
    <mergeCell ref="V37:V39"/>
    <mergeCell ref="W37:W39"/>
    <mergeCell ref="V40:V42"/>
    <mergeCell ref="W40:W42"/>
    <mergeCell ref="V31:V33"/>
    <mergeCell ref="X5:Y8"/>
    <mergeCell ref="Z13:Z15"/>
    <mergeCell ref="Z16:Z18"/>
    <mergeCell ref="Z5:Z9"/>
    <mergeCell ref="Z10:Z12"/>
    <mergeCell ref="Z55:Z57"/>
    <mergeCell ref="Z58:Z60"/>
    <mergeCell ref="Z61:Z63"/>
    <mergeCell ref="Z64:Z66"/>
    <mergeCell ref="Z43:Z45"/>
    <mergeCell ref="Z46:Z48"/>
    <mergeCell ref="Z49:Z51"/>
    <mergeCell ref="Z52:Z54"/>
    <mergeCell ref="U79:U81"/>
    <mergeCell ref="U97:U99"/>
    <mergeCell ref="U91:U93"/>
    <mergeCell ref="Z19:Z21"/>
    <mergeCell ref="Z22:Z24"/>
    <mergeCell ref="Z25:Z27"/>
    <mergeCell ref="Z28:Z30"/>
    <mergeCell ref="U58:U60"/>
    <mergeCell ref="U61:U63"/>
    <mergeCell ref="U52:U54"/>
    <mergeCell ref="U55:U57"/>
    <mergeCell ref="Z31:Z33"/>
    <mergeCell ref="Z34:Z36"/>
    <mergeCell ref="Z37:Z39"/>
    <mergeCell ref="Z40:Z42"/>
    <mergeCell ref="U49:U51"/>
    <mergeCell ref="Z97:Z99"/>
    <mergeCell ref="W31:W33"/>
    <mergeCell ref="V34:V36"/>
    <mergeCell ref="W34:W36"/>
    <mergeCell ref="V49:V51"/>
    <mergeCell ref="W49:W51"/>
    <mergeCell ref="V52:V54"/>
    <mergeCell ref="W52:W54"/>
    <mergeCell ref="U73:U75"/>
    <mergeCell ref="U64:U66"/>
    <mergeCell ref="U7:U8"/>
    <mergeCell ref="E103:F103"/>
    <mergeCell ref="U94:U96"/>
    <mergeCell ref="U46:U48"/>
    <mergeCell ref="U16:U18"/>
    <mergeCell ref="U22:U24"/>
    <mergeCell ref="U28:U30"/>
    <mergeCell ref="U40:U42"/>
    <mergeCell ref="S7:T7"/>
    <mergeCell ref="U31:U33"/>
    <mergeCell ref="U43:U45"/>
    <mergeCell ref="U34:U36"/>
    <mergeCell ref="U13:U15"/>
    <mergeCell ref="U19:U21"/>
    <mergeCell ref="U25:U27"/>
    <mergeCell ref="U37:U39"/>
    <mergeCell ref="U70:U72"/>
    <mergeCell ref="U67:U69"/>
    <mergeCell ref="U100:U102"/>
    <mergeCell ref="U82:U84"/>
    <mergeCell ref="U76:U78"/>
    <mergeCell ref="U85:U87"/>
    <mergeCell ref="A10:A12"/>
    <mergeCell ref="B10:B12"/>
    <mergeCell ref="A13:A15"/>
    <mergeCell ref="B13:B15"/>
    <mergeCell ref="A5:A9"/>
    <mergeCell ref="B5:B9"/>
    <mergeCell ref="C7:C9"/>
    <mergeCell ref="D5:F9"/>
    <mergeCell ref="A25:A27"/>
    <mergeCell ref="B25:B27"/>
    <mergeCell ref="A28:A30"/>
    <mergeCell ref="B28:B30"/>
    <mergeCell ref="A31:A33"/>
    <mergeCell ref="B31:B33"/>
    <mergeCell ref="A16:A18"/>
    <mergeCell ref="B16:B18"/>
    <mergeCell ref="A19:A21"/>
    <mergeCell ref="B19:B21"/>
    <mergeCell ref="A22:A24"/>
    <mergeCell ref="B22:B24"/>
    <mergeCell ref="A43:A45"/>
    <mergeCell ref="B43:B45"/>
    <mergeCell ref="A46:A48"/>
    <mergeCell ref="B46:B48"/>
    <mergeCell ref="A49:A51"/>
    <mergeCell ref="B49:B51"/>
    <mergeCell ref="A34:A36"/>
    <mergeCell ref="B34:B36"/>
    <mergeCell ref="A37:A39"/>
    <mergeCell ref="B37:B39"/>
    <mergeCell ref="A40:A42"/>
    <mergeCell ref="B40:B42"/>
    <mergeCell ref="A61:A63"/>
    <mergeCell ref="B61:B63"/>
    <mergeCell ref="A64:A66"/>
    <mergeCell ref="B64:B66"/>
    <mergeCell ref="A67:A69"/>
    <mergeCell ref="B67:B69"/>
    <mergeCell ref="A52:A54"/>
    <mergeCell ref="B52:B54"/>
    <mergeCell ref="A55:A57"/>
    <mergeCell ref="B55:B57"/>
    <mergeCell ref="A58:A60"/>
    <mergeCell ref="B58:B60"/>
    <mergeCell ref="A79:A81"/>
    <mergeCell ref="B79:B81"/>
    <mergeCell ref="A82:A84"/>
    <mergeCell ref="B82:B84"/>
    <mergeCell ref="A85:A87"/>
    <mergeCell ref="B85:B87"/>
    <mergeCell ref="A70:A72"/>
    <mergeCell ref="B70:B72"/>
    <mergeCell ref="A73:A75"/>
    <mergeCell ref="B73:B75"/>
    <mergeCell ref="A76:A78"/>
    <mergeCell ref="B76:B78"/>
    <mergeCell ref="B97:B99"/>
    <mergeCell ref="F105:H107"/>
    <mergeCell ref="V100:V102"/>
    <mergeCell ref="W100:W102"/>
    <mergeCell ref="A88:A90"/>
    <mergeCell ref="B88:B90"/>
    <mergeCell ref="A91:A93"/>
    <mergeCell ref="B91:B93"/>
    <mergeCell ref="Y112:Y113"/>
    <mergeCell ref="A100:A102"/>
    <mergeCell ref="B100:B102"/>
    <mergeCell ref="A94:A96"/>
    <mergeCell ref="B94:B96"/>
    <mergeCell ref="A97:A99"/>
    <mergeCell ref="U88:U90"/>
    <mergeCell ref="Q105:R107"/>
    <mergeCell ref="V91:V93"/>
    <mergeCell ref="V97:V99"/>
    <mergeCell ref="W97:W99"/>
    <mergeCell ref="V88:V90"/>
    <mergeCell ref="W88:W90"/>
    <mergeCell ref="W91:W93"/>
    <mergeCell ref="V94:V96"/>
    <mergeCell ref="W94:W96"/>
  </mergeCells>
  <phoneticPr fontId="2"/>
  <conditionalFormatting sqref="Y10:Y102">
    <cfRule type="cellIs" dxfId="6" priority="1" stopIfTrue="1" operator="equal">
      <formula>0</formula>
    </cfRule>
  </conditionalFormatting>
  <conditionalFormatting sqref="C38:C39 C11:C12 C98:C99 C14:C15 C17:C18 C20:C21 C23:C24 C26:C27 C29:C30 C32:C33 C35:C36 C41:C42 C44:C45 C47:C48 C50:C51 C53:C54 C56:C57 C95:C96 C59:C60 C62:C63 C65:C66 C68:C69 C71:C72 C74:C75 C77:C78 C80:C81 C83:C84 C86:C87 C89:C90 C92:C93 C101:C102">
    <cfRule type="cellIs" dxfId="5" priority="2" stopIfTrue="1" operator="equal">
      <formula>"(土)"</formula>
    </cfRule>
    <cfRule type="cellIs" dxfId="4" priority="3" stopIfTrue="1" operator="equal">
      <formula>"(日)"</formula>
    </cfRule>
  </conditionalFormatting>
  <dataValidations count="3">
    <dataValidation type="list" allowBlank="1" showInputMessage="1" showErrorMessage="1" sqref="X10:X102" xr:uid="{00000000-0002-0000-0200-000000000000}">
      <formula1>"①分娩,②手術,③検査,④重症患者,⑤救急患者,⑥外来診療,⑦入院診療,⑧オンコール,⑨コロナ患者"</formula1>
    </dataValidation>
    <dataValidation type="list" allowBlank="1" showInputMessage="1" showErrorMessage="1" error="リストから選択してください。" sqref="C12 C15 C18 C21 C24 C27 C30 C33 C36 C39 C42 C45 C48 C51 C54 C57 C60 C63 C66 C69 C72 C75 C78 C81 C84 C87 C90 C93 C96 C99 C102" xr:uid="{00000000-0002-0000-0200-000001000000}">
      <formula1>INDIRECT("勤務形態オプション!A3:A9")</formula1>
    </dataValidation>
    <dataValidation type="time" imeMode="off" operator="notBetween" allowBlank="1" showInputMessage="1" showErrorMessage="1" error="時刻は　例：18:00　と入力_x000a__x000a_０時をすぎた場合、_x000a_例：午前０時４５分の場合＝２４：４５　と入力。_x000a_表示は　0:45　と表示されます。" sqref="C103:C65535" xr:uid="{00000000-0002-0000-0200-000002000000}">
      <formula1>0.000694444444444444</formula1>
      <formula2>0.208333333333333</formula2>
    </dataValidation>
  </dataValidations>
  <printOptions horizontalCentered="1" verticalCentered="1"/>
  <pageMargins left="0" right="0" top="0" bottom="0" header="0.51181102362204722" footer="0.51181102362204722"/>
  <pageSetup paperSize="9" scale="3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4"/>
  <sheetViews>
    <sheetView workbookViewId="0">
      <selection activeCell="C41" sqref="C41"/>
    </sheetView>
  </sheetViews>
  <sheetFormatPr baseColWidth="10" defaultColWidth="8.83203125" defaultRowHeight="14"/>
  <cols>
    <col min="1" max="1" width="15.1640625" bestFit="1" customWidth="1"/>
  </cols>
  <sheetData>
    <row r="1" spans="1:1">
      <c r="A1" s="18" t="s">
        <v>18</v>
      </c>
    </row>
    <row r="2" spans="1:1">
      <c r="A2" t="s">
        <v>24</v>
      </c>
    </row>
    <row r="3" spans="1:1">
      <c r="A3" t="s">
        <v>25</v>
      </c>
    </row>
    <row r="4" spans="1:1">
      <c r="A4" t="s">
        <v>26</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D24"/>
  <sheetViews>
    <sheetView workbookViewId="0">
      <selection activeCell="H28" sqref="H28"/>
    </sheetView>
  </sheetViews>
  <sheetFormatPr baseColWidth="10" defaultColWidth="8.83203125" defaultRowHeight="14"/>
  <cols>
    <col min="1" max="1" width="19.1640625" customWidth="1"/>
    <col min="2" max="2" width="11" bestFit="1" customWidth="1"/>
  </cols>
  <sheetData>
    <row r="2" spans="1:4" ht="30">
      <c r="A2" s="19" t="s">
        <v>23</v>
      </c>
      <c r="B2" s="19" t="s">
        <v>75</v>
      </c>
      <c r="C2" s="42" t="s">
        <v>72</v>
      </c>
      <c r="D2" s="42" t="s">
        <v>71</v>
      </c>
    </row>
    <row r="3" spans="1:4">
      <c r="A3" s="20" t="s">
        <v>83</v>
      </c>
      <c r="B3" s="20" t="b">
        <v>0</v>
      </c>
      <c r="C3" s="21" t="b">
        <v>0</v>
      </c>
      <c r="D3" s="21" t="b">
        <v>0</v>
      </c>
    </row>
    <row r="4" spans="1:4">
      <c r="A4" s="20" t="s">
        <v>84</v>
      </c>
      <c r="B4" s="20" t="b">
        <v>0</v>
      </c>
      <c r="C4" s="20" t="b">
        <v>1</v>
      </c>
      <c r="D4" s="21" t="b">
        <v>0</v>
      </c>
    </row>
    <row r="5" spans="1:4">
      <c r="A5" s="20" t="s">
        <v>85</v>
      </c>
      <c r="B5" s="20" t="b">
        <v>0</v>
      </c>
      <c r="C5" s="21" t="b">
        <v>0</v>
      </c>
      <c r="D5" s="21" t="b">
        <v>1</v>
      </c>
    </row>
    <row r="6" spans="1:4">
      <c r="A6" s="20" t="s">
        <v>86</v>
      </c>
      <c r="B6" s="20" t="b">
        <v>1</v>
      </c>
      <c r="C6" s="21" t="b">
        <v>0</v>
      </c>
      <c r="D6" s="21" t="b">
        <v>0</v>
      </c>
    </row>
    <row r="7" spans="1:4">
      <c r="A7" s="20" t="s">
        <v>87</v>
      </c>
      <c r="B7" s="20" t="b">
        <v>0</v>
      </c>
      <c r="C7" s="21" t="b">
        <v>0</v>
      </c>
      <c r="D7" s="21" t="b">
        <v>0</v>
      </c>
    </row>
    <row r="8" spans="1:4">
      <c r="A8" s="20" t="s">
        <v>88</v>
      </c>
      <c r="B8" s="20" t="b">
        <v>0</v>
      </c>
      <c r="C8" s="21" t="b">
        <v>0</v>
      </c>
      <c r="D8" s="21" t="b">
        <v>0</v>
      </c>
    </row>
    <row r="9" spans="1:4">
      <c r="A9" s="20" t="s">
        <v>171</v>
      </c>
      <c r="B9" s="20" t="b">
        <v>0</v>
      </c>
      <c r="C9" s="21" t="b">
        <v>0</v>
      </c>
      <c r="D9" s="21" t="b">
        <v>0</v>
      </c>
    </row>
    <row r="10" spans="1:4">
      <c r="A10" s="20">
        <v>0</v>
      </c>
      <c r="B10" s="20" t="b">
        <v>1</v>
      </c>
      <c r="C10" s="20" t="b">
        <v>0</v>
      </c>
      <c r="D10" s="20" t="b">
        <v>0</v>
      </c>
    </row>
    <row r="16" spans="1:4">
      <c r="A16" s="19" t="s">
        <v>23</v>
      </c>
      <c r="B16" s="217" t="s">
        <v>172</v>
      </c>
      <c r="C16" s="217" t="s">
        <v>173</v>
      </c>
    </row>
    <row r="17" spans="1:3">
      <c r="A17" s="20" t="s">
        <v>83</v>
      </c>
      <c r="B17" s="20"/>
      <c r="C17" s="20"/>
    </row>
    <row r="18" spans="1:3">
      <c r="A18" s="20" t="s">
        <v>84</v>
      </c>
      <c r="B18" s="20"/>
      <c r="C18" s="20"/>
    </row>
    <row r="19" spans="1:3">
      <c r="A19" s="20" t="s">
        <v>85</v>
      </c>
      <c r="B19" s="20"/>
      <c r="C19" s="20"/>
    </row>
    <row r="20" spans="1:3">
      <c r="A20" s="20" t="s">
        <v>86</v>
      </c>
      <c r="B20" s="20"/>
      <c r="C20" s="218" t="s">
        <v>120</v>
      </c>
    </row>
    <row r="21" spans="1:3">
      <c r="A21" s="20" t="s">
        <v>87</v>
      </c>
      <c r="B21" s="20"/>
      <c r="C21" s="218" t="s">
        <v>120</v>
      </c>
    </row>
    <row r="22" spans="1:3">
      <c r="A22" s="20" t="s">
        <v>88</v>
      </c>
      <c r="B22" s="218" t="s">
        <v>121</v>
      </c>
      <c r="C22" s="20"/>
    </row>
    <row r="23" spans="1:3">
      <c r="A23" s="20" t="s">
        <v>171</v>
      </c>
      <c r="B23" s="218" t="s">
        <v>121</v>
      </c>
      <c r="C23" s="218" t="s">
        <v>120</v>
      </c>
    </row>
    <row r="24" spans="1:3">
      <c r="A24" s="20">
        <v>0</v>
      </c>
      <c r="B24" s="218"/>
      <c r="C24" s="218"/>
    </row>
  </sheetData>
  <phoneticPr fontId="2"/>
  <conditionalFormatting sqref="C3:D9 B3:B10">
    <cfRule type="cellIs" dxfId="3" priority="2" stopIfTrue="1" operator="equal">
      <formula>TRUE</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4:BM105"/>
  <sheetViews>
    <sheetView workbookViewId="0">
      <selection activeCell="AH9" sqref="AH9"/>
    </sheetView>
  </sheetViews>
  <sheetFormatPr baseColWidth="10" defaultColWidth="8.83203125" defaultRowHeight="14"/>
  <cols>
    <col min="1" max="1" width="11.6640625" bestFit="1" customWidth="1"/>
    <col min="2" max="2" width="18.5" customWidth="1"/>
    <col min="3" max="3" width="8.1640625" bestFit="1" customWidth="1"/>
    <col min="6" max="9" width="10.5" customWidth="1"/>
    <col min="11" max="14" width="10.1640625" bestFit="1" customWidth="1"/>
    <col min="15" max="15" width="9.5" customWidth="1"/>
    <col min="16" max="16" width="10.83203125" customWidth="1"/>
    <col min="17" max="17" width="6.6640625" customWidth="1"/>
    <col min="18" max="18" width="8.5" bestFit="1" customWidth="1"/>
    <col min="19" max="19" width="8.83203125" customWidth="1"/>
    <col min="21" max="21" width="10.6640625" customWidth="1"/>
    <col min="22" max="22" width="10.5" customWidth="1"/>
    <col min="23" max="23" width="11" customWidth="1"/>
    <col min="24" max="24" width="10.1640625" bestFit="1" customWidth="1"/>
    <col min="25" max="26" width="9.5" customWidth="1"/>
    <col min="27" max="27" width="10.1640625" bestFit="1" customWidth="1"/>
    <col min="28" max="28" width="9.5" bestFit="1" customWidth="1"/>
    <col min="31" max="31" width="9.5" bestFit="1" customWidth="1"/>
    <col min="33" max="47" width="9.1640625" customWidth="1"/>
    <col min="48" max="48" width="2.1640625" customWidth="1"/>
    <col min="64" max="64" width="12.83203125" customWidth="1"/>
  </cols>
  <sheetData>
    <row r="4" spans="1:65">
      <c r="R4" s="24"/>
      <c r="U4" s="24"/>
      <c r="V4" s="24"/>
      <c r="AL4" s="22"/>
    </row>
    <row r="5" spans="1:65">
      <c r="U5" s="24"/>
      <c r="AK5" s="31"/>
      <c r="AM5" s="49"/>
    </row>
    <row r="6" spans="1:65" ht="67.5" customHeight="1" thickBot="1">
      <c r="C6">
        <v>2</v>
      </c>
      <c r="D6">
        <v>3</v>
      </c>
      <c r="E6">
        <v>4</v>
      </c>
      <c r="R6" s="361" t="s">
        <v>70</v>
      </c>
      <c r="S6" s="362"/>
      <c r="T6" s="362"/>
      <c r="U6" s="363"/>
      <c r="V6" s="364" t="s">
        <v>103</v>
      </c>
      <c r="W6" s="365"/>
      <c r="Y6" s="361" t="s">
        <v>69</v>
      </c>
      <c r="Z6" s="362"/>
      <c r="AA6" s="362"/>
      <c r="AB6" s="362"/>
      <c r="AC6" s="361" t="s">
        <v>95</v>
      </c>
      <c r="AD6" s="362"/>
      <c r="AE6" s="362"/>
      <c r="AF6" s="363"/>
      <c r="AG6">
        <v>1</v>
      </c>
      <c r="AH6">
        <v>2</v>
      </c>
      <c r="AI6">
        <v>3</v>
      </c>
      <c r="AJ6">
        <v>4</v>
      </c>
      <c r="AK6">
        <v>5</v>
      </c>
      <c r="AL6">
        <v>6</v>
      </c>
      <c r="AM6">
        <v>7</v>
      </c>
      <c r="AN6">
        <v>8</v>
      </c>
      <c r="AO6">
        <v>9</v>
      </c>
      <c r="AP6">
        <v>10</v>
      </c>
      <c r="AQ6">
        <v>11</v>
      </c>
      <c r="AR6">
        <v>12</v>
      </c>
      <c r="AS6">
        <v>13</v>
      </c>
      <c r="AT6">
        <v>14</v>
      </c>
      <c r="AU6">
        <v>15</v>
      </c>
      <c r="AW6" t="s">
        <v>81</v>
      </c>
    </row>
    <row r="7" spans="1:65" ht="13.5" customHeight="1">
      <c r="F7" s="359" t="s">
        <v>74</v>
      </c>
      <c r="G7" s="360"/>
      <c r="H7" s="5"/>
      <c r="I7" s="5"/>
      <c r="Q7" s="13" t="s">
        <v>64</v>
      </c>
      <c r="R7" s="52">
        <v>0</v>
      </c>
      <c r="S7" s="368"/>
      <c r="T7" s="368"/>
      <c r="U7" s="41">
        <v>0.91666666666666663</v>
      </c>
      <c r="V7" s="366"/>
      <c r="W7" s="367"/>
      <c r="Y7" s="35">
        <v>4</v>
      </c>
      <c r="Z7">
        <v>3</v>
      </c>
      <c r="AA7">
        <v>2</v>
      </c>
      <c r="AB7">
        <v>1</v>
      </c>
      <c r="AC7" s="39"/>
      <c r="AD7" s="30"/>
      <c r="AE7" s="30"/>
      <c r="AF7" s="40"/>
      <c r="AG7" s="56" t="s">
        <v>34</v>
      </c>
      <c r="AH7" s="356" t="s">
        <v>35</v>
      </c>
      <c r="AI7" s="357"/>
      <c r="AJ7" s="356" t="s">
        <v>36</v>
      </c>
      <c r="AK7" s="357"/>
      <c r="AL7" s="356" t="s">
        <v>37</v>
      </c>
      <c r="AM7" s="358"/>
      <c r="AN7" s="44"/>
      <c r="AO7" s="25"/>
      <c r="AP7" s="356" t="s">
        <v>79</v>
      </c>
      <c r="AQ7" s="357"/>
      <c r="AR7" s="356" t="s">
        <v>80</v>
      </c>
      <c r="AS7" s="358"/>
      <c r="AT7" s="44"/>
      <c r="AU7" s="25"/>
      <c r="AW7" s="32" t="s">
        <v>34</v>
      </c>
      <c r="AX7" s="356" t="s">
        <v>35</v>
      </c>
      <c r="AY7" s="357"/>
      <c r="AZ7" s="356" t="s">
        <v>36</v>
      </c>
      <c r="BA7" s="357"/>
      <c r="BB7" s="356" t="s">
        <v>37</v>
      </c>
      <c r="BC7" s="358"/>
      <c r="BD7" s="44"/>
      <c r="BE7" s="25"/>
      <c r="BF7" s="356" t="s">
        <v>79</v>
      </c>
      <c r="BG7" s="357"/>
      <c r="BH7" s="356" t="s">
        <v>80</v>
      </c>
      <c r="BI7" s="358"/>
      <c r="BJ7" s="44"/>
      <c r="BK7" s="25"/>
    </row>
    <row r="8" spans="1:65" ht="45">
      <c r="A8" t="s">
        <v>56</v>
      </c>
      <c r="B8" t="s">
        <v>23</v>
      </c>
      <c r="C8" s="30" t="s">
        <v>73</v>
      </c>
      <c r="D8" s="30" t="s">
        <v>72</v>
      </c>
      <c r="E8" s="30" t="s">
        <v>71</v>
      </c>
      <c r="F8" s="36" t="s">
        <v>109</v>
      </c>
      <c r="G8" s="38" t="s">
        <v>108</v>
      </c>
      <c r="H8" s="30" t="s">
        <v>104</v>
      </c>
      <c r="I8" s="30" t="s">
        <v>105</v>
      </c>
      <c r="J8" t="s">
        <v>57</v>
      </c>
      <c r="K8" t="s">
        <v>58</v>
      </c>
      <c r="L8" t="s">
        <v>59</v>
      </c>
      <c r="M8" t="s">
        <v>60</v>
      </c>
      <c r="N8" t="s">
        <v>61</v>
      </c>
      <c r="O8" t="s">
        <v>32</v>
      </c>
      <c r="P8" s="30" t="s">
        <v>101</v>
      </c>
      <c r="Q8" s="13" t="s">
        <v>65</v>
      </c>
      <c r="R8" s="53">
        <v>0.20833333333333334</v>
      </c>
      <c r="S8" s="54" t="s">
        <v>89</v>
      </c>
      <c r="T8" s="51" t="s">
        <v>92</v>
      </c>
      <c r="U8" s="55">
        <v>1</v>
      </c>
      <c r="V8" s="51" t="s">
        <v>66</v>
      </c>
      <c r="W8" s="38" t="s">
        <v>62</v>
      </c>
      <c r="X8" s="30" t="s">
        <v>63</v>
      </c>
      <c r="Y8" s="36" t="s">
        <v>90</v>
      </c>
      <c r="Z8" s="37" t="s">
        <v>93</v>
      </c>
      <c r="AA8" s="37" t="s">
        <v>68</v>
      </c>
      <c r="AB8" s="37" t="s">
        <v>67</v>
      </c>
      <c r="AC8" s="36" t="s">
        <v>91</v>
      </c>
      <c r="AD8" s="37" t="s">
        <v>94</v>
      </c>
      <c r="AE8" s="37" t="s">
        <v>68</v>
      </c>
      <c r="AF8" s="38" t="s">
        <v>67</v>
      </c>
      <c r="AG8" s="43"/>
      <c r="AH8" s="34"/>
      <c r="AI8" s="26" t="s">
        <v>39</v>
      </c>
      <c r="AJ8" s="34"/>
      <c r="AK8" s="27" t="s">
        <v>40</v>
      </c>
      <c r="AL8" s="34" t="s">
        <v>76</v>
      </c>
      <c r="AM8" s="43" t="s">
        <v>96</v>
      </c>
      <c r="AN8" s="45" t="s">
        <v>77</v>
      </c>
      <c r="AO8" s="46" t="s">
        <v>97</v>
      </c>
      <c r="AP8" s="34"/>
      <c r="AQ8" s="28" t="s">
        <v>42</v>
      </c>
      <c r="AR8" s="34" t="s">
        <v>76</v>
      </c>
      <c r="AS8" s="43" t="s">
        <v>98</v>
      </c>
      <c r="AT8" s="47" t="s">
        <v>78</v>
      </c>
      <c r="AU8" s="48" t="s">
        <v>99</v>
      </c>
      <c r="AW8" s="33"/>
      <c r="AX8" s="34"/>
      <c r="AY8" s="26" t="s">
        <v>39</v>
      </c>
      <c r="AZ8" s="34"/>
      <c r="BA8" s="27" t="s">
        <v>40</v>
      </c>
      <c r="BB8" s="34" t="s">
        <v>76</v>
      </c>
      <c r="BC8" s="43" t="s">
        <v>98</v>
      </c>
      <c r="BD8" s="45" t="s">
        <v>77</v>
      </c>
      <c r="BE8" s="46" t="s">
        <v>97</v>
      </c>
      <c r="BF8" s="34"/>
      <c r="BG8" s="28" t="s">
        <v>42</v>
      </c>
      <c r="BH8" s="34" t="s">
        <v>76</v>
      </c>
      <c r="BI8" s="43" t="s">
        <v>98</v>
      </c>
      <c r="BJ8" s="47" t="s">
        <v>78</v>
      </c>
      <c r="BK8" s="48" t="s">
        <v>99</v>
      </c>
      <c r="BL8" s="30" t="s">
        <v>100</v>
      </c>
      <c r="BM8" s="30" t="s">
        <v>102</v>
      </c>
    </row>
    <row r="9" spans="1:65">
      <c r="A9" s="29">
        <f>補助簿!B9</f>
        <v>41081</v>
      </c>
      <c r="B9" s="151">
        <f>命令簿!C12</f>
        <v>0</v>
      </c>
      <c r="C9" t="b">
        <f>VLOOKUP($B9,勤務形態オプション!$A$3:$D$11,C$6,FALSE)</f>
        <v>1</v>
      </c>
      <c r="D9" t="b">
        <f>VLOOKUP($B9,勤務形態オプション!$A$3:$D$10,D$6,FALSE)</f>
        <v>0</v>
      </c>
      <c r="E9" t="b">
        <f>VLOOKUP($B9,勤務形態オプション!$A$3:$D$10,E$6,FALSE)</f>
        <v>0</v>
      </c>
      <c r="F9" s="50">
        <f>補助簿!$E9</f>
        <v>0</v>
      </c>
      <c r="G9" s="50">
        <f>補助簿!$F9</f>
        <v>0</v>
      </c>
      <c r="H9" s="50">
        <f>補助簿!$C9</f>
        <v>0</v>
      </c>
      <c r="I9" s="50">
        <f>補助簿!$D9</f>
        <v>0</v>
      </c>
      <c r="J9" s="58">
        <v>1</v>
      </c>
      <c r="K9" s="50">
        <f>IF(命令簿!D10&lt;&gt;"",命令簿!D10,0)</f>
        <v>0</v>
      </c>
      <c r="L9" s="50">
        <f>IF(命令簿!G10&lt;&gt;"",命令簿!G10,IF(命令簿!F10&lt;&gt;"",命令簿!F10,0))</f>
        <v>0</v>
      </c>
      <c r="M9" s="50">
        <f>IF(命令簿!I10&lt;&gt;"",命令簿!I10,$L9)</f>
        <v>0</v>
      </c>
      <c r="N9" s="50">
        <f>IF(命令簿!I10&lt;&gt;"",命令簿!F10,L9)</f>
        <v>0</v>
      </c>
      <c r="O9" s="50">
        <f>ROUND(L9-K9,7)</f>
        <v>0</v>
      </c>
      <c r="P9" s="355">
        <f>SUM(O9:O11)</f>
        <v>0</v>
      </c>
      <c r="R9" s="31">
        <f t="shared" ref="R9:R40" si="0">GetTimeAmount($K9,$L9,$M9,$N9,R$7,R$8)</f>
        <v>0</v>
      </c>
      <c r="S9" s="31">
        <f t="shared" ref="S9:S40" si="1">GetTimeAmountNormal($D9,$E9,$F9,$G9,$H9,$I9,$K9,$L9,$M9,$N9)</f>
        <v>0</v>
      </c>
      <c r="T9" s="31">
        <f t="shared" ref="T9:T40" si="2">GetTimeAmountUntil2200($D9,$E9,$F9,$G9,$H9,$I9,$K9,$L9,$M9,$N9)</f>
        <v>0</v>
      </c>
      <c r="U9" s="31">
        <f t="shared" ref="U9:U40" si="3">GetTimeAmount($K9,$L9,$M9,$N9,U$7,U$8)</f>
        <v>0</v>
      </c>
      <c r="V9" s="31">
        <f t="shared" ref="V9:V40" si="4">IF(E9,R9+S9+T9+U9,+T9+U9+R9)</f>
        <v>0</v>
      </c>
      <c r="W9" s="31">
        <f>V9</f>
        <v>0</v>
      </c>
      <c r="X9" s="31">
        <f>IF(W9&gt;60,W9-60,0)</f>
        <v>0</v>
      </c>
      <c r="Y9" s="31">
        <f t="shared" ref="Y9:AB28" si="5">CalcOverTime($E9,$X9,$U9,$T9,$S9,$R9,Y$7)</f>
        <v>0</v>
      </c>
      <c r="Z9" s="31">
        <f t="shared" si="5"/>
        <v>0</v>
      </c>
      <c r="AA9" s="31">
        <f t="shared" si="5"/>
        <v>0</v>
      </c>
      <c r="AB9" s="31">
        <f t="shared" si="5"/>
        <v>0</v>
      </c>
      <c r="AC9" s="31">
        <f t="shared" ref="AC9:AC32" si="6">R9-Y9</f>
        <v>0</v>
      </c>
      <c r="AD9" s="31">
        <f t="shared" ref="AD9:AD40" si="7">IF(E9,S9-Z9,IF(D9,S9,0))</f>
        <v>0</v>
      </c>
      <c r="AE9" s="31">
        <f>T9-AA9</f>
        <v>0</v>
      </c>
      <c r="AF9" s="31">
        <f>U9-AB9</f>
        <v>0</v>
      </c>
      <c r="AG9" s="31">
        <f t="shared" ref="AG9:AU18" si="8">AllocateWorkTime($C9:$I9,$Y9:$AF9,AG$6)</f>
        <v>0</v>
      </c>
      <c r="AH9" s="31">
        <f t="shared" si="8"/>
        <v>0</v>
      </c>
      <c r="AI9" s="31">
        <f t="shared" si="8"/>
        <v>0</v>
      </c>
      <c r="AJ9" s="31">
        <f t="shared" si="8"/>
        <v>0</v>
      </c>
      <c r="AK9" s="31">
        <f t="shared" si="8"/>
        <v>0</v>
      </c>
      <c r="AL9" s="31">
        <f t="shared" si="8"/>
        <v>0</v>
      </c>
      <c r="AM9" s="31">
        <f t="shared" si="8"/>
        <v>0</v>
      </c>
      <c r="AN9" s="31">
        <f t="shared" si="8"/>
        <v>0</v>
      </c>
      <c r="AO9" s="31">
        <f t="shared" si="8"/>
        <v>0</v>
      </c>
      <c r="AP9" s="31">
        <f t="shared" si="8"/>
        <v>0</v>
      </c>
      <c r="AQ9" s="31">
        <f t="shared" si="8"/>
        <v>0</v>
      </c>
      <c r="AR9" s="31">
        <f t="shared" si="8"/>
        <v>0</v>
      </c>
      <c r="AS9" s="31">
        <f t="shared" si="8"/>
        <v>0</v>
      </c>
      <c r="AT9" s="31">
        <f t="shared" si="8"/>
        <v>0</v>
      </c>
      <c r="AU9" s="31">
        <f t="shared" si="8"/>
        <v>0</v>
      </c>
      <c r="AW9" s="22">
        <f>TIME(INT(AG9),(AG9-INT(AG9))*60,0)</f>
        <v>0</v>
      </c>
      <c r="AX9" s="22">
        <f t="shared" ref="AX9:BK9" si="9">TIME(INT(AH9),(AH9-INT(AH9))*60,0)</f>
        <v>0</v>
      </c>
      <c r="AY9" s="22">
        <f t="shared" si="9"/>
        <v>0</v>
      </c>
      <c r="AZ9" s="22">
        <f t="shared" si="9"/>
        <v>0</v>
      </c>
      <c r="BA9" s="22">
        <f t="shared" si="9"/>
        <v>0</v>
      </c>
      <c r="BB9" s="22">
        <f t="shared" si="9"/>
        <v>0</v>
      </c>
      <c r="BC9" s="22">
        <f t="shared" si="9"/>
        <v>0</v>
      </c>
      <c r="BD9" s="22">
        <f t="shared" si="9"/>
        <v>0</v>
      </c>
      <c r="BE9" s="22">
        <f t="shared" si="9"/>
        <v>0</v>
      </c>
      <c r="BF9" s="22">
        <f t="shared" si="9"/>
        <v>0</v>
      </c>
      <c r="BG9" s="22">
        <f t="shared" si="9"/>
        <v>0</v>
      </c>
      <c r="BH9" s="22">
        <f t="shared" si="9"/>
        <v>0</v>
      </c>
      <c r="BI9" s="22">
        <f t="shared" si="9"/>
        <v>0</v>
      </c>
      <c r="BJ9" s="22">
        <f t="shared" si="9"/>
        <v>0</v>
      </c>
      <c r="BK9" s="22">
        <f t="shared" si="9"/>
        <v>0</v>
      </c>
      <c r="BL9" s="22">
        <f>ROUND(SUM(AW9:BK9),5)</f>
        <v>0</v>
      </c>
      <c r="BM9" s="22" t="str">
        <f>IF(O9&lt;&gt;BL9,"NG","OK")</f>
        <v>OK</v>
      </c>
    </row>
    <row r="10" spans="1:65">
      <c r="A10" s="29">
        <f>A9</f>
        <v>41081</v>
      </c>
      <c r="B10">
        <f>B9</f>
        <v>0</v>
      </c>
      <c r="C10" t="b">
        <f>VLOOKUP($B10,勤務形態オプション!$A$3:$D$10,C$6,FALSE)</f>
        <v>1</v>
      </c>
      <c r="D10" t="b">
        <f>VLOOKUP($B10,勤務形態オプション!$A$3:$D$10,D$6,FALSE)</f>
        <v>0</v>
      </c>
      <c r="E10" t="b">
        <f>VLOOKUP($B10,勤務形態オプション!$A$3:$D$10,E$6,FALSE)</f>
        <v>0</v>
      </c>
      <c r="F10" s="50">
        <f>F9</f>
        <v>0</v>
      </c>
      <c r="G10" s="50">
        <f>G9</f>
        <v>0</v>
      </c>
      <c r="H10" s="50">
        <f>H9</f>
        <v>0</v>
      </c>
      <c r="I10" s="50">
        <f>I9</f>
        <v>0</v>
      </c>
      <c r="J10" s="58">
        <v>2</v>
      </c>
      <c r="K10" s="50">
        <f>IF(命令簿!D11&lt;&gt;"",命令簿!D11,0)</f>
        <v>0</v>
      </c>
      <c r="L10" s="50">
        <f>IF(命令簿!G11&lt;&gt;"",命令簿!G11,IF(命令簿!F11&lt;&gt;"",命令簿!F11,0))</f>
        <v>0</v>
      </c>
      <c r="M10" s="50">
        <f>IF(命令簿!I11&lt;&gt;"",命令簿!I11,$L10)</f>
        <v>0</v>
      </c>
      <c r="N10" s="50">
        <f>IF(命令簿!I11&lt;&gt;"",命令簿!F11,L10)</f>
        <v>0</v>
      </c>
      <c r="O10" s="50">
        <f t="shared" ref="O10:O73" si="10">ROUND(L10-K10,7)</f>
        <v>0</v>
      </c>
      <c r="P10" s="355"/>
      <c r="R10" s="31">
        <f t="shared" si="0"/>
        <v>0</v>
      </c>
      <c r="S10" s="31">
        <f t="shared" si="1"/>
        <v>0</v>
      </c>
      <c r="T10" s="31">
        <f t="shared" si="2"/>
        <v>0</v>
      </c>
      <c r="U10" s="31">
        <f t="shared" si="3"/>
        <v>0</v>
      </c>
      <c r="V10" s="31">
        <f t="shared" si="4"/>
        <v>0</v>
      </c>
      <c r="W10" s="31">
        <f>W9+V10</f>
        <v>0</v>
      </c>
      <c r="X10" s="31">
        <f t="shared" ref="X10:X57" si="11">IF(W10&gt;60,W10-60,0)</f>
        <v>0</v>
      </c>
      <c r="Y10" s="31">
        <f t="shared" si="5"/>
        <v>0</v>
      </c>
      <c r="Z10" s="31">
        <f t="shared" si="5"/>
        <v>0</v>
      </c>
      <c r="AA10" s="31">
        <f t="shared" si="5"/>
        <v>0</v>
      </c>
      <c r="AB10" s="31">
        <f t="shared" si="5"/>
        <v>0</v>
      </c>
      <c r="AC10" s="31">
        <f t="shared" si="6"/>
        <v>0</v>
      </c>
      <c r="AD10" s="31">
        <f t="shared" si="7"/>
        <v>0</v>
      </c>
      <c r="AE10" s="31">
        <f t="shared" ref="AE10:AE57" si="12">T10-AA10</f>
        <v>0</v>
      </c>
      <c r="AF10" s="31">
        <f t="shared" ref="AF10:AF33" si="13">U10-AB10</f>
        <v>0</v>
      </c>
      <c r="AG10" s="31">
        <f t="shared" si="8"/>
        <v>0</v>
      </c>
      <c r="AH10" s="31">
        <f t="shared" si="8"/>
        <v>0</v>
      </c>
      <c r="AI10" s="31">
        <f t="shared" si="8"/>
        <v>0</v>
      </c>
      <c r="AJ10" s="31">
        <f t="shared" si="8"/>
        <v>0</v>
      </c>
      <c r="AK10" s="31">
        <f t="shared" si="8"/>
        <v>0</v>
      </c>
      <c r="AL10" s="31">
        <f t="shared" si="8"/>
        <v>0</v>
      </c>
      <c r="AM10" s="31">
        <f t="shared" si="8"/>
        <v>0</v>
      </c>
      <c r="AN10" s="31">
        <f t="shared" si="8"/>
        <v>0</v>
      </c>
      <c r="AO10" s="31">
        <f t="shared" si="8"/>
        <v>0</v>
      </c>
      <c r="AP10" s="31">
        <f t="shared" si="8"/>
        <v>0</v>
      </c>
      <c r="AQ10" s="31">
        <f t="shared" si="8"/>
        <v>0</v>
      </c>
      <c r="AR10" s="31">
        <f t="shared" si="8"/>
        <v>0</v>
      </c>
      <c r="AS10" s="31">
        <f t="shared" si="8"/>
        <v>0</v>
      </c>
      <c r="AT10" s="31">
        <f t="shared" si="8"/>
        <v>0</v>
      </c>
      <c r="AU10" s="31">
        <f t="shared" si="8"/>
        <v>0</v>
      </c>
      <c r="AW10" s="22">
        <f t="shared" ref="AW10:AW57" si="14">TIME(INT(AG10),(AG10-INT(AG10))*60,0)</f>
        <v>0</v>
      </c>
      <c r="AX10" s="22">
        <f t="shared" ref="AX10:AX57" si="15">TIME(INT(AH10),(AH10-INT(AH10))*60,0)</f>
        <v>0</v>
      </c>
      <c r="AY10" s="22">
        <f t="shared" ref="AY10:AY57" si="16">TIME(INT(AI10),(AI10-INT(AI10))*60,0)</f>
        <v>0</v>
      </c>
      <c r="AZ10" s="22">
        <f t="shared" ref="AZ10:AZ57" si="17">TIME(INT(AJ10),(AJ10-INT(AJ10))*60,0)</f>
        <v>0</v>
      </c>
      <c r="BA10" s="22">
        <f t="shared" ref="BA10:BA57" si="18">TIME(INT(AK10),(AK10-INT(AK10))*60,0)</f>
        <v>0</v>
      </c>
      <c r="BB10" s="22">
        <f t="shared" ref="BB10:BB57" si="19">TIME(INT(AL10),(AL10-INT(AL10))*60,0)</f>
        <v>0</v>
      </c>
      <c r="BC10" s="22">
        <f t="shared" ref="BC10:BC57" si="20">TIME(INT(AM10),(AM10-INT(AM10))*60,0)</f>
        <v>0</v>
      </c>
      <c r="BD10" s="22">
        <f t="shared" ref="BD10:BD57" si="21">TIME(INT(AN10),(AN10-INT(AN10))*60,0)</f>
        <v>0</v>
      </c>
      <c r="BE10" s="22">
        <f t="shared" ref="BE10:BE57" si="22">TIME(INT(AO10),(AO10-INT(AO10))*60,0)</f>
        <v>0</v>
      </c>
      <c r="BF10" s="22">
        <f t="shared" ref="BF10:BF57" si="23">TIME(INT(AP10),(AP10-INT(AP10))*60,0)</f>
        <v>0</v>
      </c>
      <c r="BG10" s="22">
        <f t="shared" ref="BG10:BG57" si="24">TIME(INT(AQ10),(AQ10-INT(AQ10))*60,0)</f>
        <v>0</v>
      </c>
      <c r="BH10" s="22">
        <f t="shared" ref="BH10:BH57" si="25">TIME(INT(AR10),(AR10-INT(AR10))*60,0)</f>
        <v>0</v>
      </c>
      <c r="BI10" s="22">
        <f t="shared" ref="BI10:BI57" si="26">TIME(INT(AS10),(AS10-INT(AS10))*60,0)</f>
        <v>0</v>
      </c>
      <c r="BJ10" s="22">
        <f t="shared" ref="BJ10:BJ57" si="27">TIME(INT(AT10),(AT10-INT(AT10))*60,0)</f>
        <v>0</v>
      </c>
      <c r="BK10" s="22">
        <f t="shared" ref="BK10:BK57" si="28">TIME(INT(AU10),(AU10-INT(AU10))*60,0)</f>
        <v>0</v>
      </c>
      <c r="BL10" s="22">
        <f t="shared" ref="BL10:BL57" si="29">ROUND(SUM(AW10:BK10),5)</f>
        <v>0</v>
      </c>
      <c r="BM10" s="22" t="str">
        <f t="shared" ref="BM10:BM57" si="30">IF(O10&lt;&gt;BL10,"NG","OK")</f>
        <v>OK</v>
      </c>
    </row>
    <row r="11" spans="1:65">
      <c r="A11" s="29">
        <f>A10</f>
        <v>41081</v>
      </c>
      <c r="B11">
        <f>B10</f>
        <v>0</v>
      </c>
      <c r="C11" t="b">
        <f>VLOOKUP($B11,勤務形態オプション!$A$3:$D$10,C$6,FALSE)</f>
        <v>1</v>
      </c>
      <c r="D11" t="b">
        <f>VLOOKUP($B11,勤務形態オプション!$A$3:$D$10,D$6,FALSE)</f>
        <v>0</v>
      </c>
      <c r="E11" t="b">
        <f>VLOOKUP($B11,勤務形態オプション!$A$3:$D$10,E$6,FALSE)</f>
        <v>0</v>
      </c>
      <c r="F11" s="50">
        <f>F9</f>
        <v>0</v>
      </c>
      <c r="G11" s="50">
        <f>G9</f>
        <v>0</v>
      </c>
      <c r="H11" s="50">
        <f>H9</f>
        <v>0</v>
      </c>
      <c r="I11" s="50">
        <f>I9</f>
        <v>0</v>
      </c>
      <c r="J11" s="58">
        <v>3</v>
      </c>
      <c r="K11" s="50">
        <f>IF(命令簿!D12&lt;&gt;"",命令簿!D12,0)</f>
        <v>0</v>
      </c>
      <c r="L11" s="50">
        <f>IF(命令簿!G12&lt;&gt;"",命令簿!G12,IF(命令簿!F12&lt;&gt;"",命令簿!F12,0))</f>
        <v>0</v>
      </c>
      <c r="M11" s="50">
        <f>IF(命令簿!I12&lt;&gt;"",命令簿!I12,$L11)</f>
        <v>0</v>
      </c>
      <c r="N11" s="50">
        <f>IF(命令簿!I12&lt;&gt;"",命令簿!F12,L11)</f>
        <v>0</v>
      </c>
      <c r="O11" s="50">
        <f t="shared" si="10"/>
        <v>0</v>
      </c>
      <c r="P11" s="355"/>
      <c r="R11" s="31">
        <f t="shared" si="0"/>
        <v>0</v>
      </c>
      <c r="S11" s="31">
        <f t="shared" si="1"/>
        <v>0</v>
      </c>
      <c r="T11" s="31">
        <f t="shared" si="2"/>
        <v>0</v>
      </c>
      <c r="U11" s="31">
        <f t="shared" si="3"/>
        <v>0</v>
      </c>
      <c r="V11" s="31">
        <f t="shared" si="4"/>
        <v>0</v>
      </c>
      <c r="W11" s="31">
        <f t="shared" ref="W11:W74" si="31">W10+V11</f>
        <v>0</v>
      </c>
      <c r="X11" s="31">
        <f t="shared" si="11"/>
        <v>0</v>
      </c>
      <c r="Y11" s="31">
        <f t="shared" si="5"/>
        <v>0</v>
      </c>
      <c r="Z11" s="31">
        <f t="shared" si="5"/>
        <v>0</v>
      </c>
      <c r="AA11" s="31">
        <f t="shared" si="5"/>
        <v>0</v>
      </c>
      <c r="AB11" s="31">
        <f t="shared" si="5"/>
        <v>0</v>
      </c>
      <c r="AC11" s="31">
        <f t="shared" si="6"/>
        <v>0</v>
      </c>
      <c r="AD11" s="31">
        <f t="shared" si="7"/>
        <v>0</v>
      </c>
      <c r="AE11" s="31">
        <f t="shared" si="12"/>
        <v>0</v>
      </c>
      <c r="AF11" s="31">
        <f t="shared" si="13"/>
        <v>0</v>
      </c>
      <c r="AG11" s="31">
        <f t="shared" si="8"/>
        <v>0</v>
      </c>
      <c r="AH11" s="31">
        <f t="shared" si="8"/>
        <v>0</v>
      </c>
      <c r="AI11" s="31">
        <f t="shared" si="8"/>
        <v>0</v>
      </c>
      <c r="AJ11" s="31">
        <f t="shared" si="8"/>
        <v>0</v>
      </c>
      <c r="AK11" s="31">
        <f t="shared" si="8"/>
        <v>0</v>
      </c>
      <c r="AL11" s="31">
        <f t="shared" si="8"/>
        <v>0</v>
      </c>
      <c r="AM11" s="31">
        <f t="shared" si="8"/>
        <v>0</v>
      </c>
      <c r="AN11" s="31">
        <f t="shared" si="8"/>
        <v>0</v>
      </c>
      <c r="AO11" s="31">
        <f t="shared" si="8"/>
        <v>0</v>
      </c>
      <c r="AP11" s="31">
        <f t="shared" si="8"/>
        <v>0</v>
      </c>
      <c r="AQ11" s="31">
        <f t="shared" si="8"/>
        <v>0</v>
      </c>
      <c r="AR11" s="31">
        <f t="shared" si="8"/>
        <v>0</v>
      </c>
      <c r="AS11" s="31">
        <f t="shared" si="8"/>
        <v>0</v>
      </c>
      <c r="AT11" s="31">
        <f t="shared" si="8"/>
        <v>0</v>
      </c>
      <c r="AU11" s="31">
        <f t="shared" si="8"/>
        <v>0</v>
      </c>
      <c r="AW11" s="22">
        <f t="shared" si="14"/>
        <v>0</v>
      </c>
      <c r="AX11" s="22">
        <f t="shared" si="15"/>
        <v>0</v>
      </c>
      <c r="AY11" s="22">
        <f t="shared" si="16"/>
        <v>0</v>
      </c>
      <c r="AZ11" s="22">
        <f t="shared" si="17"/>
        <v>0</v>
      </c>
      <c r="BA11" s="22">
        <f t="shared" si="18"/>
        <v>0</v>
      </c>
      <c r="BB11" s="22">
        <f t="shared" si="19"/>
        <v>0</v>
      </c>
      <c r="BC11" s="22">
        <f t="shared" si="20"/>
        <v>0</v>
      </c>
      <c r="BD11" s="22">
        <f t="shared" si="21"/>
        <v>0</v>
      </c>
      <c r="BE11" s="22">
        <f t="shared" si="22"/>
        <v>0</v>
      </c>
      <c r="BF11" s="22">
        <f t="shared" si="23"/>
        <v>0</v>
      </c>
      <c r="BG11" s="22">
        <f t="shared" si="24"/>
        <v>0</v>
      </c>
      <c r="BH11" s="22">
        <f t="shared" si="25"/>
        <v>0</v>
      </c>
      <c r="BI11" s="22">
        <f t="shared" si="26"/>
        <v>0</v>
      </c>
      <c r="BJ11" s="22">
        <f t="shared" si="27"/>
        <v>0</v>
      </c>
      <c r="BK11" s="22">
        <f t="shared" si="28"/>
        <v>0</v>
      </c>
      <c r="BL11" s="22">
        <f t="shared" si="29"/>
        <v>0</v>
      </c>
      <c r="BM11" s="22" t="str">
        <f t="shared" si="30"/>
        <v>OK</v>
      </c>
    </row>
    <row r="12" spans="1:65">
      <c r="A12" s="29">
        <f>補助簿!B12</f>
        <v>41082</v>
      </c>
      <c r="B12" s="150">
        <f>命令簿!C15</f>
        <v>0</v>
      </c>
      <c r="C12" t="b">
        <f>VLOOKUP($B12,勤務形態オプション!$A$3:$D$10,C$6,FALSE)</f>
        <v>1</v>
      </c>
      <c r="D12" t="b">
        <f>VLOOKUP($B12,勤務形態オプション!$A$3:$D$10,D$6,FALSE)</f>
        <v>0</v>
      </c>
      <c r="E12" t="b">
        <f>VLOOKUP($B12,勤務形態オプション!$A$3:$D$10,E$6,FALSE)</f>
        <v>0</v>
      </c>
      <c r="F12" s="50">
        <f>補助簿!$E12</f>
        <v>0</v>
      </c>
      <c r="G12" s="50">
        <f>補助簿!$F12</f>
        <v>0</v>
      </c>
      <c r="H12" s="50">
        <f>補助簿!$C12</f>
        <v>0</v>
      </c>
      <c r="I12" s="50">
        <f>補助簿!$D12</f>
        <v>0</v>
      </c>
      <c r="J12" s="58">
        <v>1</v>
      </c>
      <c r="K12" s="50">
        <f>IF(命令簿!D13&lt;&gt;"",命令簿!D13,0)</f>
        <v>0</v>
      </c>
      <c r="L12" s="50">
        <f>IF(命令簿!G13&lt;&gt;"",命令簿!G13,IF(命令簿!F13&lt;&gt;"",命令簿!F13,0))</f>
        <v>0</v>
      </c>
      <c r="M12" s="50">
        <f>IF(命令簿!I13&lt;&gt;"",命令簿!I13,$L12)</f>
        <v>0</v>
      </c>
      <c r="N12" s="50">
        <f>IF(命令簿!I13&lt;&gt;"",命令簿!F13,L12)</f>
        <v>0</v>
      </c>
      <c r="O12" s="50">
        <f t="shared" si="10"/>
        <v>0</v>
      </c>
      <c r="P12" s="355">
        <f>SUM(O12:O14)</f>
        <v>0</v>
      </c>
      <c r="R12" s="31">
        <f t="shared" si="0"/>
        <v>0</v>
      </c>
      <c r="S12" s="31">
        <f t="shared" si="1"/>
        <v>0</v>
      </c>
      <c r="T12" s="31">
        <f t="shared" si="2"/>
        <v>0</v>
      </c>
      <c r="U12" s="31">
        <f t="shared" si="3"/>
        <v>0</v>
      </c>
      <c r="V12" s="31">
        <f t="shared" si="4"/>
        <v>0</v>
      </c>
      <c r="W12" s="31">
        <f t="shared" si="31"/>
        <v>0</v>
      </c>
      <c r="X12" s="31">
        <f t="shared" si="11"/>
        <v>0</v>
      </c>
      <c r="Y12" s="31">
        <f t="shared" si="5"/>
        <v>0</v>
      </c>
      <c r="Z12" s="31">
        <f t="shared" si="5"/>
        <v>0</v>
      </c>
      <c r="AA12" s="31">
        <f t="shared" si="5"/>
        <v>0</v>
      </c>
      <c r="AB12" s="31">
        <f t="shared" si="5"/>
        <v>0</v>
      </c>
      <c r="AC12" s="31">
        <f t="shared" si="6"/>
        <v>0</v>
      </c>
      <c r="AD12" s="31">
        <f t="shared" si="7"/>
        <v>0</v>
      </c>
      <c r="AE12" s="31">
        <f t="shared" si="12"/>
        <v>0</v>
      </c>
      <c r="AF12" s="31">
        <f t="shared" si="13"/>
        <v>0</v>
      </c>
      <c r="AG12" s="31">
        <f t="shared" si="8"/>
        <v>0</v>
      </c>
      <c r="AH12" s="31">
        <f t="shared" si="8"/>
        <v>0</v>
      </c>
      <c r="AI12" s="31">
        <f t="shared" si="8"/>
        <v>0</v>
      </c>
      <c r="AJ12" s="31">
        <f t="shared" si="8"/>
        <v>0</v>
      </c>
      <c r="AK12" s="31">
        <f t="shared" si="8"/>
        <v>0</v>
      </c>
      <c r="AL12" s="31">
        <f t="shared" si="8"/>
        <v>0</v>
      </c>
      <c r="AM12" s="31">
        <f t="shared" si="8"/>
        <v>0</v>
      </c>
      <c r="AN12" s="31">
        <f t="shared" si="8"/>
        <v>0</v>
      </c>
      <c r="AO12" s="31">
        <f t="shared" si="8"/>
        <v>0</v>
      </c>
      <c r="AP12" s="31">
        <f t="shared" si="8"/>
        <v>0</v>
      </c>
      <c r="AQ12" s="31">
        <f t="shared" si="8"/>
        <v>0</v>
      </c>
      <c r="AR12" s="31">
        <f t="shared" si="8"/>
        <v>0</v>
      </c>
      <c r="AS12" s="31">
        <f t="shared" si="8"/>
        <v>0</v>
      </c>
      <c r="AT12" s="31">
        <f t="shared" si="8"/>
        <v>0</v>
      </c>
      <c r="AU12" s="31">
        <f t="shared" si="8"/>
        <v>0</v>
      </c>
      <c r="AW12" s="22">
        <f t="shared" si="14"/>
        <v>0</v>
      </c>
      <c r="AX12" s="22">
        <f t="shared" si="15"/>
        <v>0</v>
      </c>
      <c r="AY12" s="22">
        <f t="shared" si="16"/>
        <v>0</v>
      </c>
      <c r="AZ12" s="22">
        <f t="shared" si="17"/>
        <v>0</v>
      </c>
      <c r="BA12" s="22">
        <f t="shared" si="18"/>
        <v>0</v>
      </c>
      <c r="BB12" s="22">
        <f t="shared" si="19"/>
        <v>0</v>
      </c>
      <c r="BC12" s="22">
        <f t="shared" si="20"/>
        <v>0</v>
      </c>
      <c r="BD12" s="22">
        <f t="shared" si="21"/>
        <v>0</v>
      </c>
      <c r="BE12" s="22">
        <f t="shared" si="22"/>
        <v>0</v>
      </c>
      <c r="BF12" s="22">
        <f t="shared" si="23"/>
        <v>0</v>
      </c>
      <c r="BG12" s="22">
        <f t="shared" si="24"/>
        <v>0</v>
      </c>
      <c r="BH12" s="22">
        <f t="shared" si="25"/>
        <v>0</v>
      </c>
      <c r="BI12" s="22">
        <f t="shared" si="26"/>
        <v>0</v>
      </c>
      <c r="BJ12" s="22">
        <f t="shared" si="27"/>
        <v>0</v>
      </c>
      <c r="BK12" s="22">
        <f t="shared" si="28"/>
        <v>0</v>
      </c>
      <c r="BL12" s="22">
        <f t="shared" si="29"/>
        <v>0</v>
      </c>
      <c r="BM12" s="22" t="str">
        <f t="shared" si="30"/>
        <v>OK</v>
      </c>
    </row>
    <row r="13" spans="1:65">
      <c r="A13" s="29">
        <f>A12</f>
        <v>41082</v>
      </c>
      <c r="B13">
        <f>B12</f>
        <v>0</v>
      </c>
      <c r="C13" t="b">
        <f>VLOOKUP($B13,勤務形態オプション!$A$3:$D$10,C$6,FALSE)</f>
        <v>1</v>
      </c>
      <c r="D13" t="b">
        <f>VLOOKUP($B13,勤務形態オプション!$A$3:$D$10,D$6,FALSE)</f>
        <v>0</v>
      </c>
      <c r="E13" t="b">
        <f>VLOOKUP($B13,勤務形態オプション!$A$3:$D$10,E$6,FALSE)</f>
        <v>0</v>
      </c>
      <c r="F13" s="50">
        <f>F12</f>
        <v>0</v>
      </c>
      <c r="G13" s="50">
        <f>G12</f>
        <v>0</v>
      </c>
      <c r="H13" s="50">
        <f>H12</f>
        <v>0</v>
      </c>
      <c r="I13" s="50">
        <f>I12</f>
        <v>0</v>
      </c>
      <c r="J13" s="58">
        <v>2</v>
      </c>
      <c r="K13" s="50">
        <f>IF(命令簿!D14&lt;&gt;"",命令簿!D14,0)</f>
        <v>0</v>
      </c>
      <c r="L13" s="50">
        <f>IF(命令簿!G14&lt;&gt;"",命令簿!G14,IF(命令簿!F14&lt;&gt;"",命令簿!F14,0))</f>
        <v>0</v>
      </c>
      <c r="M13" s="50">
        <f>IF(命令簿!I14&lt;&gt;"",命令簿!I14,$L13)</f>
        <v>0</v>
      </c>
      <c r="N13" s="50">
        <f>IF(命令簿!I14&lt;&gt;"",命令簿!F14,L13)</f>
        <v>0</v>
      </c>
      <c r="O13" s="50">
        <f t="shared" si="10"/>
        <v>0</v>
      </c>
      <c r="P13" s="355"/>
      <c r="R13" s="31">
        <f t="shared" si="0"/>
        <v>0</v>
      </c>
      <c r="S13" s="31">
        <f t="shared" si="1"/>
        <v>0</v>
      </c>
      <c r="T13" s="31">
        <f t="shared" si="2"/>
        <v>0</v>
      </c>
      <c r="U13" s="31">
        <f t="shared" si="3"/>
        <v>0</v>
      </c>
      <c r="V13" s="31">
        <f t="shared" si="4"/>
        <v>0</v>
      </c>
      <c r="W13" s="31">
        <f t="shared" si="31"/>
        <v>0</v>
      </c>
      <c r="X13" s="31">
        <f t="shared" si="11"/>
        <v>0</v>
      </c>
      <c r="Y13" s="31">
        <f t="shared" si="5"/>
        <v>0</v>
      </c>
      <c r="Z13" s="31">
        <f t="shared" si="5"/>
        <v>0</v>
      </c>
      <c r="AA13" s="31">
        <f t="shared" si="5"/>
        <v>0</v>
      </c>
      <c r="AB13" s="31">
        <f t="shared" si="5"/>
        <v>0</v>
      </c>
      <c r="AC13" s="31">
        <f t="shared" si="6"/>
        <v>0</v>
      </c>
      <c r="AD13" s="31">
        <f t="shared" si="7"/>
        <v>0</v>
      </c>
      <c r="AE13" s="31">
        <f t="shared" si="12"/>
        <v>0</v>
      </c>
      <c r="AF13" s="31">
        <f t="shared" si="13"/>
        <v>0</v>
      </c>
      <c r="AG13" s="31">
        <f t="shared" si="8"/>
        <v>0</v>
      </c>
      <c r="AH13" s="31">
        <f t="shared" si="8"/>
        <v>0</v>
      </c>
      <c r="AI13" s="31">
        <f t="shared" si="8"/>
        <v>0</v>
      </c>
      <c r="AJ13" s="31">
        <f t="shared" si="8"/>
        <v>0</v>
      </c>
      <c r="AK13" s="31">
        <f t="shared" si="8"/>
        <v>0</v>
      </c>
      <c r="AL13" s="31">
        <f t="shared" si="8"/>
        <v>0</v>
      </c>
      <c r="AM13" s="31">
        <f t="shared" si="8"/>
        <v>0</v>
      </c>
      <c r="AN13" s="31">
        <f t="shared" si="8"/>
        <v>0</v>
      </c>
      <c r="AO13" s="31">
        <f t="shared" si="8"/>
        <v>0</v>
      </c>
      <c r="AP13" s="31">
        <f t="shared" si="8"/>
        <v>0</v>
      </c>
      <c r="AQ13" s="31">
        <f t="shared" si="8"/>
        <v>0</v>
      </c>
      <c r="AR13" s="31">
        <f t="shared" si="8"/>
        <v>0</v>
      </c>
      <c r="AS13" s="31">
        <f t="shared" si="8"/>
        <v>0</v>
      </c>
      <c r="AT13" s="31">
        <f t="shared" si="8"/>
        <v>0</v>
      </c>
      <c r="AU13" s="31">
        <f t="shared" si="8"/>
        <v>0</v>
      </c>
      <c r="AW13" s="22">
        <f t="shared" si="14"/>
        <v>0</v>
      </c>
      <c r="AX13" s="22">
        <f t="shared" si="15"/>
        <v>0</v>
      </c>
      <c r="AY13" s="22">
        <f t="shared" si="16"/>
        <v>0</v>
      </c>
      <c r="AZ13" s="22">
        <f t="shared" si="17"/>
        <v>0</v>
      </c>
      <c r="BA13" s="22">
        <f t="shared" si="18"/>
        <v>0</v>
      </c>
      <c r="BB13" s="22">
        <f t="shared" si="19"/>
        <v>0</v>
      </c>
      <c r="BC13" s="22">
        <f t="shared" si="20"/>
        <v>0</v>
      </c>
      <c r="BD13" s="22">
        <f t="shared" si="21"/>
        <v>0</v>
      </c>
      <c r="BE13" s="22">
        <f t="shared" si="22"/>
        <v>0</v>
      </c>
      <c r="BF13" s="22">
        <f t="shared" si="23"/>
        <v>0</v>
      </c>
      <c r="BG13" s="22">
        <f t="shared" si="24"/>
        <v>0</v>
      </c>
      <c r="BH13" s="22">
        <f t="shared" si="25"/>
        <v>0</v>
      </c>
      <c r="BI13" s="22">
        <f t="shared" si="26"/>
        <v>0</v>
      </c>
      <c r="BJ13" s="22">
        <f t="shared" si="27"/>
        <v>0</v>
      </c>
      <c r="BK13" s="22">
        <f t="shared" si="28"/>
        <v>0</v>
      </c>
      <c r="BL13" s="22">
        <f t="shared" si="29"/>
        <v>0</v>
      </c>
      <c r="BM13" s="22" t="str">
        <f t="shared" si="30"/>
        <v>OK</v>
      </c>
    </row>
    <row r="14" spans="1:65">
      <c r="A14" s="29">
        <f>A13</f>
        <v>41082</v>
      </c>
      <c r="B14">
        <f>B13</f>
        <v>0</v>
      </c>
      <c r="C14" t="b">
        <f>VLOOKUP($B14,勤務形態オプション!$A$3:$D$10,C$6,FALSE)</f>
        <v>1</v>
      </c>
      <c r="D14" t="b">
        <f>VLOOKUP($B14,勤務形態オプション!$A$3:$D$10,D$6,FALSE)</f>
        <v>0</v>
      </c>
      <c r="E14" t="b">
        <f>VLOOKUP($B14,勤務形態オプション!$A$3:$D$10,E$6,FALSE)</f>
        <v>0</v>
      </c>
      <c r="F14" s="50">
        <f>F12</f>
        <v>0</v>
      </c>
      <c r="G14" s="50">
        <f>G12</f>
        <v>0</v>
      </c>
      <c r="H14" s="50">
        <f>H12</f>
        <v>0</v>
      </c>
      <c r="I14" s="50">
        <f>I12</f>
        <v>0</v>
      </c>
      <c r="J14" s="58">
        <v>3</v>
      </c>
      <c r="K14" s="50">
        <f>IF(命令簿!D15&lt;&gt;"",命令簿!D15,0)</f>
        <v>0</v>
      </c>
      <c r="L14" s="50">
        <f>IF(命令簿!G15&lt;&gt;"",命令簿!G15,IF(命令簿!F15&lt;&gt;"",命令簿!F15,0))</f>
        <v>0</v>
      </c>
      <c r="M14" s="50">
        <f>IF(命令簿!I15&lt;&gt;"",命令簿!I15,$L14)</f>
        <v>0</v>
      </c>
      <c r="N14" s="50">
        <f>IF(命令簿!I15&lt;&gt;"",命令簿!F15,L14)</f>
        <v>0</v>
      </c>
      <c r="O14" s="50">
        <f t="shared" si="10"/>
        <v>0</v>
      </c>
      <c r="P14" s="355"/>
      <c r="R14" s="31">
        <f t="shared" si="0"/>
        <v>0</v>
      </c>
      <c r="S14" s="31">
        <f t="shared" si="1"/>
        <v>0</v>
      </c>
      <c r="T14" s="31">
        <f t="shared" si="2"/>
        <v>0</v>
      </c>
      <c r="U14" s="31">
        <f t="shared" si="3"/>
        <v>0</v>
      </c>
      <c r="V14" s="31">
        <f t="shared" si="4"/>
        <v>0</v>
      </c>
      <c r="W14" s="31">
        <f t="shared" si="31"/>
        <v>0</v>
      </c>
      <c r="X14" s="31">
        <f t="shared" si="11"/>
        <v>0</v>
      </c>
      <c r="Y14" s="31">
        <f t="shared" si="5"/>
        <v>0</v>
      </c>
      <c r="Z14" s="31">
        <f t="shared" si="5"/>
        <v>0</v>
      </c>
      <c r="AA14" s="31">
        <f t="shared" si="5"/>
        <v>0</v>
      </c>
      <c r="AB14" s="31">
        <f t="shared" si="5"/>
        <v>0</v>
      </c>
      <c r="AC14" s="31">
        <f t="shared" si="6"/>
        <v>0</v>
      </c>
      <c r="AD14" s="31">
        <f t="shared" si="7"/>
        <v>0</v>
      </c>
      <c r="AE14" s="31">
        <f t="shared" si="12"/>
        <v>0</v>
      </c>
      <c r="AF14" s="31">
        <f t="shared" si="13"/>
        <v>0</v>
      </c>
      <c r="AG14" s="31">
        <f t="shared" si="8"/>
        <v>0</v>
      </c>
      <c r="AH14" s="31">
        <f t="shared" si="8"/>
        <v>0</v>
      </c>
      <c r="AI14" s="31">
        <f t="shared" si="8"/>
        <v>0</v>
      </c>
      <c r="AJ14" s="31">
        <f t="shared" si="8"/>
        <v>0</v>
      </c>
      <c r="AK14" s="31">
        <f t="shared" si="8"/>
        <v>0</v>
      </c>
      <c r="AL14" s="31">
        <f t="shared" si="8"/>
        <v>0</v>
      </c>
      <c r="AM14" s="31">
        <f t="shared" si="8"/>
        <v>0</v>
      </c>
      <c r="AN14" s="31">
        <f t="shared" si="8"/>
        <v>0</v>
      </c>
      <c r="AO14" s="31">
        <f t="shared" si="8"/>
        <v>0</v>
      </c>
      <c r="AP14" s="31">
        <f t="shared" si="8"/>
        <v>0</v>
      </c>
      <c r="AQ14" s="31">
        <f t="shared" si="8"/>
        <v>0</v>
      </c>
      <c r="AR14" s="31">
        <f t="shared" si="8"/>
        <v>0</v>
      </c>
      <c r="AS14" s="31">
        <f t="shared" si="8"/>
        <v>0</v>
      </c>
      <c r="AT14" s="31">
        <f t="shared" si="8"/>
        <v>0</v>
      </c>
      <c r="AU14" s="31">
        <f t="shared" si="8"/>
        <v>0</v>
      </c>
      <c r="AW14" s="22">
        <f t="shared" si="14"/>
        <v>0</v>
      </c>
      <c r="AX14" s="22">
        <f t="shared" si="15"/>
        <v>0</v>
      </c>
      <c r="AY14" s="22">
        <f t="shared" si="16"/>
        <v>0</v>
      </c>
      <c r="AZ14" s="22">
        <f t="shared" si="17"/>
        <v>0</v>
      </c>
      <c r="BA14" s="22">
        <f t="shared" si="18"/>
        <v>0</v>
      </c>
      <c r="BB14" s="22">
        <f t="shared" si="19"/>
        <v>0</v>
      </c>
      <c r="BC14" s="22">
        <f t="shared" si="20"/>
        <v>0</v>
      </c>
      <c r="BD14" s="22">
        <f t="shared" si="21"/>
        <v>0</v>
      </c>
      <c r="BE14" s="22">
        <f t="shared" si="22"/>
        <v>0</v>
      </c>
      <c r="BF14" s="22">
        <f t="shared" si="23"/>
        <v>0</v>
      </c>
      <c r="BG14" s="22">
        <f t="shared" si="24"/>
        <v>0</v>
      </c>
      <c r="BH14" s="22">
        <f t="shared" si="25"/>
        <v>0</v>
      </c>
      <c r="BI14" s="22">
        <f t="shared" si="26"/>
        <v>0</v>
      </c>
      <c r="BJ14" s="22">
        <f t="shared" si="27"/>
        <v>0</v>
      </c>
      <c r="BK14" s="22">
        <f t="shared" si="28"/>
        <v>0</v>
      </c>
      <c r="BL14" s="22">
        <f t="shared" si="29"/>
        <v>0</v>
      </c>
      <c r="BM14" s="22" t="str">
        <f t="shared" si="30"/>
        <v>OK</v>
      </c>
    </row>
    <row r="15" spans="1:65">
      <c r="A15" s="29">
        <f>補助簿!B15</f>
        <v>41083</v>
      </c>
      <c r="B15" s="151">
        <f>命令簿!C18</f>
        <v>0</v>
      </c>
      <c r="C15" t="b">
        <f>VLOOKUP($B15,勤務形態オプション!$A$3:$D$10,C$6,FALSE)</f>
        <v>1</v>
      </c>
      <c r="D15" t="b">
        <f>VLOOKUP($B15,勤務形態オプション!$A$3:$D$10,D$6,FALSE)</f>
        <v>0</v>
      </c>
      <c r="E15" t="b">
        <f>VLOOKUP($B15,勤務形態オプション!$A$3:$D$10,E$6,FALSE)</f>
        <v>0</v>
      </c>
      <c r="F15" s="50">
        <f>補助簿!$E15</f>
        <v>0</v>
      </c>
      <c r="G15" s="50">
        <f>補助簿!$F15</f>
        <v>0</v>
      </c>
      <c r="H15" s="50">
        <f>補助簿!$C15</f>
        <v>0</v>
      </c>
      <c r="I15" s="50">
        <f>補助簿!$D15</f>
        <v>0</v>
      </c>
      <c r="J15" s="58">
        <v>1</v>
      </c>
      <c r="K15" s="50">
        <f>IF(命令簿!D16&lt;&gt;"",命令簿!D16,0)</f>
        <v>0</v>
      </c>
      <c r="L15" s="50">
        <f>IF(命令簿!G16&lt;&gt;"",命令簿!G16,IF(命令簿!F16&lt;&gt;"",命令簿!F16,0))</f>
        <v>0</v>
      </c>
      <c r="M15" s="50">
        <f>IF(命令簿!I16&lt;&gt;"",命令簿!I16,$L15)</f>
        <v>0</v>
      </c>
      <c r="N15" s="50">
        <f>IF(命令簿!I16&lt;&gt;"",命令簿!F16,L15)</f>
        <v>0</v>
      </c>
      <c r="O15" s="50">
        <f t="shared" si="10"/>
        <v>0</v>
      </c>
      <c r="P15" s="355">
        <f>SUM(O15:O17)</f>
        <v>0</v>
      </c>
      <c r="R15" s="31">
        <f t="shared" si="0"/>
        <v>0</v>
      </c>
      <c r="S15" s="31">
        <f t="shared" si="1"/>
        <v>0</v>
      </c>
      <c r="T15" s="31">
        <f t="shared" si="2"/>
        <v>0</v>
      </c>
      <c r="U15" s="31">
        <f t="shared" si="3"/>
        <v>0</v>
      </c>
      <c r="V15" s="31">
        <f t="shared" si="4"/>
        <v>0</v>
      </c>
      <c r="W15" s="31">
        <f t="shared" si="31"/>
        <v>0</v>
      </c>
      <c r="X15" s="31">
        <f t="shared" si="11"/>
        <v>0</v>
      </c>
      <c r="Y15" s="31">
        <f t="shared" si="5"/>
        <v>0</v>
      </c>
      <c r="Z15" s="31">
        <f t="shared" si="5"/>
        <v>0</v>
      </c>
      <c r="AA15" s="31">
        <f t="shared" si="5"/>
        <v>0</v>
      </c>
      <c r="AB15" s="31">
        <f t="shared" si="5"/>
        <v>0</v>
      </c>
      <c r="AC15" s="31">
        <f t="shared" si="6"/>
        <v>0</v>
      </c>
      <c r="AD15" s="31">
        <f t="shared" si="7"/>
        <v>0</v>
      </c>
      <c r="AE15" s="31">
        <f t="shared" si="12"/>
        <v>0</v>
      </c>
      <c r="AF15" s="31">
        <f t="shared" si="13"/>
        <v>0</v>
      </c>
      <c r="AG15" s="31">
        <f t="shared" si="8"/>
        <v>0</v>
      </c>
      <c r="AH15" s="31">
        <f t="shared" si="8"/>
        <v>0</v>
      </c>
      <c r="AI15" s="31">
        <f t="shared" si="8"/>
        <v>0</v>
      </c>
      <c r="AJ15" s="31">
        <f t="shared" si="8"/>
        <v>0</v>
      </c>
      <c r="AK15" s="31">
        <f t="shared" si="8"/>
        <v>0</v>
      </c>
      <c r="AL15" s="31">
        <f t="shared" si="8"/>
        <v>0</v>
      </c>
      <c r="AM15" s="31">
        <f t="shared" si="8"/>
        <v>0</v>
      </c>
      <c r="AN15" s="31">
        <f t="shared" si="8"/>
        <v>0</v>
      </c>
      <c r="AO15" s="31">
        <f t="shared" si="8"/>
        <v>0</v>
      </c>
      <c r="AP15" s="31">
        <f t="shared" si="8"/>
        <v>0</v>
      </c>
      <c r="AQ15" s="31">
        <f t="shared" si="8"/>
        <v>0</v>
      </c>
      <c r="AR15" s="31">
        <f t="shared" si="8"/>
        <v>0</v>
      </c>
      <c r="AS15" s="31">
        <f t="shared" si="8"/>
        <v>0</v>
      </c>
      <c r="AT15" s="31">
        <f t="shared" si="8"/>
        <v>0</v>
      </c>
      <c r="AU15" s="31">
        <f t="shared" si="8"/>
        <v>0</v>
      </c>
      <c r="AW15" s="22">
        <f t="shared" si="14"/>
        <v>0</v>
      </c>
      <c r="AX15" s="22">
        <f t="shared" si="15"/>
        <v>0</v>
      </c>
      <c r="AY15" s="22">
        <f t="shared" si="16"/>
        <v>0</v>
      </c>
      <c r="AZ15" s="22">
        <f t="shared" si="17"/>
        <v>0</v>
      </c>
      <c r="BA15" s="22">
        <f t="shared" si="18"/>
        <v>0</v>
      </c>
      <c r="BB15" s="22">
        <f t="shared" si="19"/>
        <v>0</v>
      </c>
      <c r="BC15" s="22">
        <f t="shared" si="20"/>
        <v>0</v>
      </c>
      <c r="BD15" s="22">
        <f t="shared" si="21"/>
        <v>0</v>
      </c>
      <c r="BE15" s="22">
        <f t="shared" si="22"/>
        <v>0</v>
      </c>
      <c r="BF15" s="22">
        <f t="shared" si="23"/>
        <v>0</v>
      </c>
      <c r="BG15" s="22">
        <f t="shared" si="24"/>
        <v>0</v>
      </c>
      <c r="BH15" s="22">
        <f t="shared" si="25"/>
        <v>0</v>
      </c>
      <c r="BI15" s="22">
        <f t="shared" si="26"/>
        <v>0</v>
      </c>
      <c r="BJ15" s="22">
        <f t="shared" si="27"/>
        <v>0</v>
      </c>
      <c r="BK15" s="22">
        <f t="shared" si="28"/>
        <v>0</v>
      </c>
      <c r="BL15" s="22">
        <f t="shared" si="29"/>
        <v>0</v>
      </c>
      <c r="BM15" s="22" t="str">
        <f t="shared" si="30"/>
        <v>OK</v>
      </c>
    </row>
    <row r="16" spans="1:65">
      <c r="A16" s="29">
        <f>A15</f>
        <v>41083</v>
      </c>
      <c r="B16">
        <f>B15</f>
        <v>0</v>
      </c>
      <c r="C16" t="b">
        <f>VLOOKUP($B16,勤務形態オプション!$A$3:$D$10,C$6,FALSE)</f>
        <v>1</v>
      </c>
      <c r="D16" t="b">
        <f>VLOOKUP($B16,勤務形態オプション!$A$3:$D$10,D$6,FALSE)</f>
        <v>0</v>
      </c>
      <c r="E16" t="b">
        <f>VLOOKUP($B16,勤務形態オプション!$A$3:$D$10,E$6,FALSE)</f>
        <v>0</v>
      </c>
      <c r="F16" s="50">
        <f>F15</f>
        <v>0</v>
      </c>
      <c r="G16" s="50">
        <f>G15</f>
        <v>0</v>
      </c>
      <c r="H16" s="50">
        <f>H15</f>
        <v>0</v>
      </c>
      <c r="I16" s="50">
        <f>I15</f>
        <v>0</v>
      </c>
      <c r="J16" s="58">
        <v>2</v>
      </c>
      <c r="K16" s="50">
        <f>IF(命令簿!D17&lt;&gt;"",命令簿!D17,0)</f>
        <v>0</v>
      </c>
      <c r="L16" s="50">
        <f>IF(命令簿!G17&lt;&gt;"",命令簿!G17,IF(命令簿!F17&lt;&gt;"",命令簿!F17,0))</f>
        <v>0</v>
      </c>
      <c r="M16" s="50">
        <f>IF(命令簿!I17&lt;&gt;"",命令簿!I17,$L16)</f>
        <v>0</v>
      </c>
      <c r="N16" s="50">
        <f>IF(命令簿!I17&lt;&gt;"",命令簿!F17,L16)</f>
        <v>0</v>
      </c>
      <c r="O16" s="50">
        <f t="shared" si="10"/>
        <v>0</v>
      </c>
      <c r="P16" s="355"/>
      <c r="R16" s="31">
        <f t="shared" si="0"/>
        <v>0</v>
      </c>
      <c r="S16" s="31">
        <f t="shared" si="1"/>
        <v>0</v>
      </c>
      <c r="T16" s="31">
        <f t="shared" si="2"/>
        <v>0</v>
      </c>
      <c r="U16" s="31">
        <f t="shared" si="3"/>
        <v>0</v>
      </c>
      <c r="V16" s="31">
        <f t="shared" si="4"/>
        <v>0</v>
      </c>
      <c r="W16" s="31">
        <f t="shared" si="31"/>
        <v>0</v>
      </c>
      <c r="X16" s="31">
        <f t="shared" si="11"/>
        <v>0</v>
      </c>
      <c r="Y16" s="31">
        <f t="shared" si="5"/>
        <v>0</v>
      </c>
      <c r="Z16" s="31">
        <f t="shared" si="5"/>
        <v>0</v>
      </c>
      <c r="AA16" s="31">
        <f t="shared" si="5"/>
        <v>0</v>
      </c>
      <c r="AB16" s="31">
        <f t="shared" si="5"/>
        <v>0</v>
      </c>
      <c r="AC16" s="31">
        <f t="shared" si="6"/>
        <v>0</v>
      </c>
      <c r="AD16" s="31">
        <f t="shared" si="7"/>
        <v>0</v>
      </c>
      <c r="AE16" s="31">
        <f t="shared" si="12"/>
        <v>0</v>
      </c>
      <c r="AF16" s="31">
        <f t="shared" si="13"/>
        <v>0</v>
      </c>
      <c r="AG16" s="31">
        <f t="shared" si="8"/>
        <v>0</v>
      </c>
      <c r="AH16" s="31">
        <f t="shared" si="8"/>
        <v>0</v>
      </c>
      <c r="AI16" s="31">
        <f t="shared" si="8"/>
        <v>0</v>
      </c>
      <c r="AJ16" s="31">
        <f t="shared" si="8"/>
        <v>0</v>
      </c>
      <c r="AK16" s="31">
        <f t="shared" si="8"/>
        <v>0</v>
      </c>
      <c r="AL16" s="31">
        <f t="shared" si="8"/>
        <v>0</v>
      </c>
      <c r="AM16" s="31">
        <f t="shared" si="8"/>
        <v>0</v>
      </c>
      <c r="AN16" s="31">
        <f t="shared" si="8"/>
        <v>0</v>
      </c>
      <c r="AO16" s="31">
        <f t="shared" si="8"/>
        <v>0</v>
      </c>
      <c r="AP16" s="31">
        <f t="shared" si="8"/>
        <v>0</v>
      </c>
      <c r="AQ16" s="31">
        <f t="shared" si="8"/>
        <v>0</v>
      </c>
      <c r="AR16" s="31">
        <f t="shared" si="8"/>
        <v>0</v>
      </c>
      <c r="AS16" s="31">
        <f t="shared" si="8"/>
        <v>0</v>
      </c>
      <c r="AT16" s="31">
        <f t="shared" si="8"/>
        <v>0</v>
      </c>
      <c r="AU16" s="31">
        <f t="shared" si="8"/>
        <v>0</v>
      </c>
      <c r="AW16" s="22">
        <f t="shared" si="14"/>
        <v>0</v>
      </c>
      <c r="AX16" s="22">
        <f t="shared" si="15"/>
        <v>0</v>
      </c>
      <c r="AY16" s="22">
        <f t="shared" si="16"/>
        <v>0</v>
      </c>
      <c r="AZ16" s="22">
        <f t="shared" si="17"/>
        <v>0</v>
      </c>
      <c r="BA16" s="22">
        <f t="shared" si="18"/>
        <v>0</v>
      </c>
      <c r="BB16" s="22">
        <f t="shared" si="19"/>
        <v>0</v>
      </c>
      <c r="BC16" s="22">
        <f t="shared" si="20"/>
        <v>0</v>
      </c>
      <c r="BD16" s="22">
        <f t="shared" si="21"/>
        <v>0</v>
      </c>
      <c r="BE16" s="22">
        <f t="shared" si="22"/>
        <v>0</v>
      </c>
      <c r="BF16" s="22">
        <f t="shared" si="23"/>
        <v>0</v>
      </c>
      <c r="BG16" s="22">
        <f t="shared" si="24"/>
        <v>0</v>
      </c>
      <c r="BH16" s="22">
        <f t="shared" si="25"/>
        <v>0</v>
      </c>
      <c r="BI16" s="22">
        <f t="shared" si="26"/>
        <v>0</v>
      </c>
      <c r="BJ16" s="22">
        <f t="shared" si="27"/>
        <v>0</v>
      </c>
      <c r="BK16" s="22">
        <f t="shared" si="28"/>
        <v>0</v>
      </c>
      <c r="BL16" s="22">
        <f t="shared" si="29"/>
        <v>0</v>
      </c>
      <c r="BM16" s="22" t="str">
        <f t="shared" si="30"/>
        <v>OK</v>
      </c>
    </row>
    <row r="17" spans="1:65">
      <c r="A17" s="29">
        <f>A16</f>
        <v>41083</v>
      </c>
      <c r="B17">
        <f>B16</f>
        <v>0</v>
      </c>
      <c r="C17" t="b">
        <f>VLOOKUP($B17,勤務形態オプション!$A$3:$D$10,C$6,FALSE)</f>
        <v>1</v>
      </c>
      <c r="D17" t="b">
        <f>VLOOKUP($B17,勤務形態オプション!$A$3:$D$10,D$6,FALSE)</f>
        <v>0</v>
      </c>
      <c r="E17" t="b">
        <f>VLOOKUP($B17,勤務形態オプション!$A$3:$D$10,E$6,FALSE)</f>
        <v>0</v>
      </c>
      <c r="F17" s="50">
        <f>F15</f>
        <v>0</v>
      </c>
      <c r="G17" s="50">
        <f>G15</f>
        <v>0</v>
      </c>
      <c r="H17" s="50">
        <f>H15</f>
        <v>0</v>
      </c>
      <c r="I17" s="50">
        <f>I15</f>
        <v>0</v>
      </c>
      <c r="J17" s="58">
        <v>3</v>
      </c>
      <c r="K17" s="50">
        <f>IF(命令簿!D18&lt;&gt;"",命令簿!D18,0)</f>
        <v>0</v>
      </c>
      <c r="L17" s="50">
        <f>IF(命令簿!G18&lt;&gt;"",命令簿!G18,IF(命令簿!F18&lt;&gt;"",命令簿!F18,0))</f>
        <v>0</v>
      </c>
      <c r="M17" s="50">
        <f>IF(命令簿!I18&lt;&gt;"",命令簿!I18,$L17)</f>
        <v>0</v>
      </c>
      <c r="N17" s="50">
        <f>IF(命令簿!I18&lt;&gt;"",命令簿!F18,L17)</f>
        <v>0</v>
      </c>
      <c r="O17" s="50">
        <f t="shared" si="10"/>
        <v>0</v>
      </c>
      <c r="P17" s="355"/>
      <c r="R17" s="31">
        <f t="shared" si="0"/>
        <v>0</v>
      </c>
      <c r="S17" s="31">
        <f t="shared" si="1"/>
        <v>0</v>
      </c>
      <c r="T17" s="31">
        <f t="shared" si="2"/>
        <v>0</v>
      </c>
      <c r="U17" s="31">
        <f t="shared" si="3"/>
        <v>0</v>
      </c>
      <c r="V17" s="31">
        <f t="shared" si="4"/>
        <v>0</v>
      </c>
      <c r="W17" s="31">
        <f t="shared" si="31"/>
        <v>0</v>
      </c>
      <c r="X17" s="31">
        <f t="shared" si="11"/>
        <v>0</v>
      </c>
      <c r="Y17" s="31">
        <f t="shared" si="5"/>
        <v>0</v>
      </c>
      <c r="Z17" s="31">
        <f t="shared" si="5"/>
        <v>0</v>
      </c>
      <c r="AA17" s="31">
        <f t="shared" si="5"/>
        <v>0</v>
      </c>
      <c r="AB17" s="31">
        <f t="shared" si="5"/>
        <v>0</v>
      </c>
      <c r="AC17" s="31">
        <f t="shared" si="6"/>
        <v>0</v>
      </c>
      <c r="AD17" s="31">
        <f t="shared" si="7"/>
        <v>0</v>
      </c>
      <c r="AE17" s="31">
        <f t="shared" si="12"/>
        <v>0</v>
      </c>
      <c r="AF17" s="31">
        <f t="shared" si="13"/>
        <v>0</v>
      </c>
      <c r="AG17" s="31">
        <f t="shared" si="8"/>
        <v>0</v>
      </c>
      <c r="AH17" s="31">
        <f t="shared" si="8"/>
        <v>0</v>
      </c>
      <c r="AI17" s="31">
        <f t="shared" si="8"/>
        <v>0</v>
      </c>
      <c r="AJ17" s="31">
        <f t="shared" si="8"/>
        <v>0</v>
      </c>
      <c r="AK17" s="31">
        <f t="shared" si="8"/>
        <v>0</v>
      </c>
      <c r="AL17" s="31">
        <f t="shared" si="8"/>
        <v>0</v>
      </c>
      <c r="AM17" s="31">
        <f t="shared" si="8"/>
        <v>0</v>
      </c>
      <c r="AN17" s="31">
        <f t="shared" si="8"/>
        <v>0</v>
      </c>
      <c r="AO17" s="31">
        <f t="shared" si="8"/>
        <v>0</v>
      </c>
      <c r="AP17" s="31">
        <f t="shared" si="8"/>
        <v>0</v>
      </c>
      <c r="AQ17" s="31">
        <f t="shared" si="8"/>
        <v>0</v>
      </c>
      <c r="AR17" s="31">
        <f t="shared" si="8"/>
        <v>0</v>
      </c>
      <c r="AS17" s="31">
        <f t="shared" si="8"/>
        <v>0</v>
      </c>
      <c r="AT17" s="31">
        <f t="shared" si="8"/>
        <v>0</v>
      </c>
      <c r="AU17" s="31">
        <f t="shared" si="8"/>
        <v>0</v>
      </c>
      <c r="AW17" s="22">
        <f t="shared" si="14"/>
        <v>0</v>
      </c>
      <c r="AX17" s="22">
        <f t="shared" si="15"/>
        <v>0</v>
      </c>
      <c r="AY17" s="22">
        <f t="shared" si="16"/>
        <v>0</v>
      </c>
      <c r="AZ17" s="22">
        <f t="shared" si="17"/>
        <v>0</v>
      </c>
      <c r="BA17" s="22">
        <f t="shared" si="18"/>
        <v>0</v>
      </c>
      <c r="BB17" s="22">
        <f t="shared" si="19"/>
        <v>0</v>
      </c>
      <c r="BC17" s="22">
        <f t="shared" si="20"/>
        <v>0</v>
      </c>
      <c r="BD17" s="22">
        <f t="shared" si="21"/>
        <v>0</v>
      </c>
      <c r="BE17" s="22">
        <f t="shared" si="22"/>
        <v>0</v>
      </c>
      <c r="BF17" s="22">
        <f t="shared" si="23"/>
        <v>0</v>
      </c>
      <c r="BG17" s="22">
        <f t="shared" si="24"/>
        <v>0</v>
      </c>
      <c r="BH17" s="22">
        <f t="shared" si="25"/>
        <v>0</v>
      </c>
      <c r="BI17" s="22">
        <f t="shared" si="26"/>
        <v>0</v>
      </c>
      <c r="BJ17" s="22">
        <f t="shared" si="27"/>
        <v>0</v>
      </c>
      <c r="BK17" s="22">
        <f t="shared" si="28"/>
        <v>0</v>
      </c>
      <c r="BL17" s="22">
        <f t="shared" si="29"/>
        <v>0</v>
      </c>
      <c r="BM17" s="22" t="str">
        <f t="shared" si="30"/>
        <v>OK</v>
      </c>
    </row>
    <row r="18" spans="1:65">
      <c r="A18" s="29">
        <f>補助簿!B18</f>
        <v>41084</v>
      </c>
      <c r="B18" s="150">
        <f>命令簿!C21</f>
        <v>0</v>
      </c>
      <c r="C18" t="b">
        <f>VLOOKUP($B18,勤務形態オプション!$A$3:$D$10,C$6,FALSE)</f>
        <v>1</v>
      </c>
      <c r="D18" t="b">
        <f>VLOOKUP($B18,勤務形態オプション!$A$3:$D$10,D$6,FALSE)</f>
        <v>0</v>
      </c>
      <c r="E18" t="b">
        <f>VLOOKUP($B18,勤務形態オプション!$A$3:$D$10,E$6,FALSE)</f>
        <v>0</v>
      </c>
      <c r="F18" s="50">
        <f>補助簿!$E18</f>
        <v>0</v>
      </c>
      <c r="G18" s="50">
        <f>補助簿!$F18</f>
        <v>0</v>
      </c>
      <c r="H18" s="50">
        <f>補助簿!$C18</f>
        <v>0</v>
      </c>
      <c r="I18" s="50">
        <f>補助簿!$D18</f>
        <v>0</v>
      </c>
      <c r="J18" s="58">
        <v>1</v>
      </c>
      <c r="K18" s="50">
        <f>IF(命令簿!D19&lt;&gt;"",命令簿!D19,0)</f>
        <v>0</v>
      </c>
      <c r="L18" s="50">
        <f>IF(命令簿!G19&lt;&gt;"",命令簿!G19,IF(命令簿!F19&lt;&gt;"",命令簿!F19,0))</f>
        <v>0</v>
      </c>
      <c r="M18" s="50">
        <f>IF(命令簿!I19&lt;&gt;"",命令簿!I19,$L18)</f>
        <v>0</v>
      </c>
      <c r="N18" s="50">
        <f>IF(命令簿!I19&lt;&gt;"",命令簿!F19,L18)</f>
        <v>0</v>
      </c>
      <c r="O18" s="50">
        <f t="shared" si="10"/>
        <v>0</v>
      </c>
      <c r="P18" s="355">
        <f>SUM(O18:O20)</f>
        <v>0</v>
      </c>
      <c r="R18" s="31">
        <f t="shared" si="0"/>
        <v>0</v>
      </c>
      <c r="S18" s="31">
        <f t="shared" si="1"/>
        <v>0</v>
      </c>
      <c r="T18" s="31">
        <f t="shared" si="2"/>
        <v>0</v>
      </c>
      <c r="U18" s="31">
        <f t="shared" si="3"/>
        <v>0</v>
      </c>
      <c r="V18" s="31">
        <f t="shared" si="4"/>
        <v>0</v>
      </c>
      <c r="W18" s="31">
        <f t="shared" si="31"/>
        <v>0</v>
      </c>
      <c r="X18" s="31">
        <f t="shared" si="11"/>
        <v>0</v>
      </c>
      <c r="Y18" s="31">
        <f t="shared" si="5"/>
        <v>0</v>
      </c>
      <c r="Z18" s="31">
        <f t="shared" si="5"/>
        <v>0</v>
      </c>
      <c r="AA18" s="31">
        <f t="shared" si="5"/>
        <v>0</v>
      </c>
      <c r="AB18" s="31">
        <f t="shared" si="5"/>
        <v>0</v>
      </c>
      <c r="AC18" s="31">
        <f t="shared" si="6"/>
        <v>0</v>
      </c>
      <c r="AD18" s="31">
        <f t="shared" si="7"/>
        <v>0</v>
      </c>
      <c r="AE18" s="31">
        <f t="shared" si="12"/>
        <v>0</v>
      </c>
      <c r="AF18" s="31">
        <f t="shared" si="13"/>
        <v>0</v>
      </c>
      <c r="AG18" s="31">
        <f t="shared" si="8"/>
        <v>0</v>
      </c>
      <c r="AH18" s="31">
        <f t="shared" si="8"/>
        <v>0</v>
      </c>
      <c r="AI18" s="31">
        <f t="shared" si="8"/>
        <v>0</v>
      </c>
      <c r="AJ18" s="31">
        <f t="shared" si="8"/>
        <v>0</v>
      </c>
      <c r="AK18" s="31">
        <f t="shared" si="8"/>
        <v>0</v>
      </c>
      <c r="AL18" s="31">
        <f t="shared" si="8"/>
        <v>0</v>
      </c>
      <c r="AM18" s="31">
        <f t="shared" si="8"/>
        <v>0</v>
      </c>
      <c r="AN18" s="31">
        <f t="shared" si="8"/>
        <v>0</v>
      </c>
      <c r="AO18" s="31">
        <f t="shared" si="8"/>
        <v>0</v>
      </c>
      <c r="AP18" s="31">
        <f t="shared" si="8"/>
        <v>0</v>
      </c>
      <c r="AQ18" s="31">
        <f t="shared" si="8"/>
        <v>0</v>
      </c>
      <c r="AR18" s="31">
        <f t="shared" si="8"/>
        <v>0</v>
      </c>
      <c r="AS18" s="31">
        <f t="shared" si="8"/>
        <v>0</v>
      </c>
      <c r="AT18" s="31">
        <f t="shared" si="8"/>
        <v>0</v>
      </c>
      <c r="AU18" s="31">
        <f t="shared" si="8"/>
        <v>0</v>
      </c>
      <c r="AW18" s="22">
        <f t="shared" si="14"/>
        <v>0</v>
      </c>
      <c r="AX18" s="22">
        <f t="shared" si="15"/>
        <v>0</v>
      </c>
      <c r="AY18" s="22">
        <f t="shared" si="16"/>
        <v>0</v>
      </c>
      <c r="AZ18" s="22">
        <f t="shared" si="17"/>
        <v>0</v>
      </c>
      <c r="BA18" s="22">
        <f t="shared" si="18"/>
        <v>0</v>
      </c>
      <c r="BB18" s="22">
        <f t="shared" si="19"/>
        <v>0</v>
      </c>
      <c r="BC18" s="22">
        <f t="shared" si="20"/>
        <v>0</v>
      </c>
      <c r="BD18" s="22">
        <f t="shared" si="21"/>
        <v>0</v>
      </c>
      <c r="BE18" s="22">
        <f t="shared" si="22"/>
        <v>0</v>
      </c>
      <c r="BF18" s="22">
        <f t="shared" si="23"/>
        <v>0</v>
      </c>
      <c r="BG18" s="22">
        <f t="shared" si="24"/>
        <v>0</v>
      </c>
      <c r="BH18" s="22">
        <f t="shared" si="25"/>
        <v>0</v>
      </c>
      <c r="BI18" s="22">
        <f t="shared" si="26"/>
        <v>0</v>
      </c>
      <c r="BJ18" s="22">
        <f t="shared" si="27"/>
        <v>0</v>
      </c>
      <c r="BK18" s="22">
        <f t="shared" si="28"/>
        <v>0</v>
      </c>
      <c r="BL18" s="22">
        <f t="shared" si="29"/>
        <v>0</v>
      </c>
      <c r="BM18" s="22" t="str">
        <f t="shared" si="30"/>
        <v>OK</v>
      </c>
    </row>
    <row r="19" spans="1:65">
      <c r="A19" s="29">
        <f>A18</f>
        <v>41084</v>
      </c>
      <c r="B19">
        <f>B18</f>
        <v>0</v>
      </c>
      <c r="C19" t="b">
        <f>VLOOKUP($B19,勤務形態オプション!$A$3:$D$10,C$6,FALSE)</f>
        <v>1</v>
      </c>
      <c r="D19" t="b">
        <f>VLOOKUP($B19,勤務形態オプション!$A$3:$D$10,D$6,FALSE)</f>
        <v>0</v>
      </c>
      <c r="E19" t="b">
        <f>VLOOKUP($B19,勤務形態オプション!$A$3:$D$10,E$6,FALSE)</f>
        <v>0</v>
      </c>
      <c r="F19" s="50">
        <f>F18</f>
        <v>0</v>
      </c>
      <c r="G19" s="50">
        <f>G18</f>
        <v>0</v>
      </c>
      <c r="H19" s="50">
        <f>H18</f>
        <v>0</v>
      </c>
      <c r="I19" s="50">
        <f>I18</f>
        <v>0</v>
      </c>
      <c r="J19" s="58">
        <v>2</v>
      </c>
      <c r="K19" s="50">
        <f>IF(命令簿!D20&lt;&gt;"",命令簿!D20,0)</f>
        <v>0</v>
      </c>
      <c r="L19" s="50">
        <f>IF(命令簿!G20&lt;&gt;"",命令簿!G20,IF(命令簿!F20&lt;&gt;"",命令簿!F20,0))</f>
        <v>0</v>
      </c>
      <c r="M19" s="50">
        <f>IF(命令簿!I20&lt;&gt;"",命令簿!I20,$L19)</f>
        <v>0</v>
      </c>
      <c r="N19" s="50">
        <f>IF(命令簿!I20&lt;&gt;"",命令簿!F20,L19)</f>
        <v>0</v>
      </c>
      <c r="O19" s="50">
        <f t="shared" si="10"/>
        <v>0</v>
      </c>
      <c r="P19" s="355"/>
      <c r="R19" s="31">
        <f t="shared" si="0"/>
        <v>0</v>
      </c>
      <c r="S19" s="31">
        <f t="shared" si="1"/>
        <v>0</v>
      </c>
      <c r="T19" s="31">
        <f t="shared" si="2"/>
        <v>0</v>
      </c>
      <c r="U19" s="31">
        <f t="shared" si="3"/>
        <v>0</v>
      </c>
      <c r="V19" s="31">
        <f t="shared" si="4"/>
        <v>0</v>
      </c>
      <c r="W19" s="31">
        <f t="shared" si="31"/>
        <v>0</v>
      </c>
      <c r="X19" s="31">
        <f t="shared" si="11"/>
        <v>0</v>
      </c>
      <c r="Y19" s="31">
        <f t="shared" si="5"/>
        <v>0</v>
      </c>
      <c r="Z19" s="31">
        <f t="shared" si="5"/>
        <v>0</v>
      </c>
      <c r="AA19" s="31">
        <f t="shared" si="5"/>
        <v>0</v>
      </c>
      <c r="AB19" s="31">
        <f t="shared" si="5"/>
        <v>0</v>
      </c>
      <c r="AC19" s="31">
        <f t="shared" si="6"/>
        <v>0</v>
      </c>
      <c r="AD19" s="31">
        <f t="shared" si="7"/>
        <v>0</v>
      </c>
      <c r="AE19" s="31">
        <f t="shared" si="12"/>
        <v>0</v>
      </c>
      <c r="AF19" s="31">
        <f t="shared" si="13"/>
        <v>0</v>
      </c>
      <c r="AG19" s="31">
        <f t="shared" ref="AG19:AU28" si="32">AllocateWorkTime($C19:$I19,$Y19:$AF19,AG$6)</f>
        <v>0</v>
      </c>
      <c r="AH19" s="31">
        <f t="shared" si="32"/>
        <v>0</v>
      </c>
      <c r="AI19" s="31">
        <f t="shared" si="32"/>
        <v>0</v>
      </c>
      <c r="AJ19" s="31">
        <f t="shared" si="32"/>
        <v>0</v>
      </c>
      <c r="AK19" s="31">
        <f t="shared" si="32"/>
        <v>0</v>
      </c>
      <c r="AL19" s="31">
        <f t="shared" si="32"/>
        <v>0</v>
      </c>
      <c r="AM19" s="31">
        <f t="shared" si="32"/>
        <v>0</v>
      </c>
      <c r="AN19" s="31">
        <f t="shared" si="32"/>
        <v>0</v>
      </c>
      <c r="AO19" s="31">
        <f t="shared" si="32"/>
        <v>0</v>
      </c>
      <c r="AP19" s="31">
        <f t="shared" si="32"/>
        <v>0</v>
      </c>
      <c r="AQ19" s="31">
        <f t="shared" si="32"/>
        <v>0</v>
      </c>
      <c r="AR19" s="31">
        <f t="shared" si="32"/>
        <v>0</v>
      </c>
      <c r="AS19" s="31">
        <f t="shared" si="32"/>
        <v>0</v>
      </c>
      <c r="AT19" s="31">
        <f t="shared" si="32"/>
        <v>0</v>
      </c>
      <c r="AU19" s="31">
        <f t="shared" si="32"/>
        <v>0</v>
      </c>
      <c r="AW19" s="22">
        <f t="shared" si="14"/>
        <v>0</v>
      </c>
      <c r="AX19" s="22">
        <f t="shared" si="15"/>
        <v>0</v>
      </c>
      <c r="AY19" s="22">
        <f t="shared" si="16"/>
        <v>0</v>
      </c>
      <c r="AZ19" s="22">
        <f t="shared" si="17"/>
        <v>0</v>
      </c>
      <c r="BA19" s="22">
        <f t="shared" si="18"/>
        <v>0</v>
      </c>
      <c r="BB19" s="22">
        <f t="shared" si="19"/>
        <v>0</v>
      </c>
      <c r="BC19" s="22">
        <f t="shared" si="20"/>
        <v>0</v>
      </c>
      <c r="BD19" s="22">
        <f t="shared" si="21"/>
        <v>0</v>
      </c>
      <c r="BE19" s="22">
        <f t="shared" si="22"/>
        <v>0</v>
      </c>
      <c r="BF19" s="22">
        <f t="shared" si="23"/>
        <v>0</v>
      </c>
      <c r="BG19" s="22">
        <f t="shared" si="24"/>
        <v>0</v>
      </c>
      <c r="BH19" s="22">
        <f t="shared" si="25"/>
        <v>0</v>
      </c>
      <c r="BI19" s="22">
        <f t="shared" si="26"/>
        <v>0</v>
      </c>
      <c r="BJ19" s="22">
        <f t="shared" si="27"/>
        <v>0</v>
      </c>
      <c r="BK19" s="22">
        <f t="shared" si="28"/>
        <v>0</v>
      </c>
      <c r="BL19" s="22">
        <f t="shared" si="29"/>
        <v>0</v>
      </c>
      <c r="BM19" s="22" t="str">
        <f t="shared" si="30"/>
        <v>OK</v>
      </c>
    </row>
    <row r="20" spans="1:65">
      <c r="A20" s="29">
        <f>A19</f>
        <v>41084</v>
      </c>
      <c r="B20">
        <f>B19</f>
        <v>0</v>
      </c>
      <c r="C20" t="b">
        <f>VLOOKUP($B20,勤務形態オプション!$A$3:$D$10,C$6,FALSE)</f>
        <v>1</v>
      </c>
      <c r="D20" t="b">
        <f>VLOOKUP($B20,勤務形態オプション!$A$3:$D$10,D$6,FALSE)</f>
        <v>0</v>
      </c>
      <c r="E20" t="b">
        <f>VLOOKUP($B20,勤務形態オプション!$A$3:$D$10,E$6,FALSE)</f>
        <v>0</v>
      </c>
      <c r="F20" s="50">
        <f>F18</f>
        <v>0</v>
      </c>
      <c r="G20" s="50">
        <f>G18</f>
        <v>0</v>
      </c>
      <c r="H20" s="50">
        <f>H18</f>
        <v>0</v>
      </c>
      <c r="I20" s="50">
        <f>I18</f>
        <v>0</v>
      </c>
      <c r="J20" s="58">
        <v>3</v>
      </c>
      <c r="K20" s="50">
        <f>IF(命令簿!D21&lt;&gt;"",命令簿!D21,0)</f>
        <v>0</v>
      </c>
      <c r="L20" s="50">
        <f>IF(命令簿!G21&lt;&gt;"",命令簿!G21,IF(命令簿!F21&lt;&gt;"",命令簿!F21,0))</f>
        <v>0</v>
      </c>
      <c r="M20" s="50">
        <f>IF(命令簿!I21&lt;&gt;"",命令簿!I21,$L20)</f>
        <v>0</v>
      </c>
      <c r="N20" s="50">
        <f>IF(命令簿!I21&lt;&gt;"",命令簿!F21,L20)</f>
        <v>0</v>
      </c>
      <c r="O20" s="50">
        <f t="shared" si="10"/>
        <v>0</v>
      </c>
      <c r="P20" s="355"/>
      <c r="R20" s="31">
        <f t="shared" si="0"/>
        <v>0</v>
      </c>
      <c r="S20" s="31">
        <f t="shared" si="1"/>
        <v>0</v>
      </c>
      <c r="T20" s="31">
        <f t="shared" si="2"/>
        <v>0</v>
      </c>
      <c r="U20" s="31">
        <f t="shared" si="3"/>
        <v>0</v>
      </c>
      <c r="V20" s="31">
        <f t="shared" si="4"/>
        <v>0</v>
      </c>
      <c r="W20" s="31">
        <f t="shared" si="31"/>
        <v>0</v>
      </c>
      <c r="X20" s="31">
        <f t="shared" si="11"/>
        <v>0</v>
      </c>
      <c r="Y20" s="31">
        <f t="shared" si="5"/>
        <v>0</v>
      </c>
      <c r="Z20" s="31">
        <f t="shared" si="5"/>
        <v>0</v>
      </c>
      <c r="AA20" s="31">
        <f t="shared" si="5"/>
        <v>0</v>
      </c>
      <c r="AB20" s="31">
        <f t="shared" si="5"/>
        <v>0</v>
      </c>
      <c r="AC20" s="31">
        <f t="shared" si="6"/>
        <v>0</v>
      </c>
      <c r="AD20" s="31">
        <f t="shared" si="7"/>
        <v>0</v>
      </c>
      <c r="AE20" s="31">
        <f t="shared" si="12"/>
        <v>0</v>
      </c>
      <c r="AF20" s="31">
        <f t="shared" si="13"/>
        <v>0</v>
      </c>
      <c r="AG20" s="31">
        <f t="shared" si="32"/>
        <v>0</v>
      </c>
      <c r="AH20" s="31">
        <f t="shared" si="32"/>
        <v>0</v>
      </c>
      <c r="AI20" s="31">
        <f t="shared" si="32"/>
        <v>0</v>
      </c>
      <c r="AJ20" s="31">
        <f t="shared" si="32"/>
        <v>0</v>
      </c>
      <c r="AK20" s="31">
        <f t="shared" si="32"/>
        <v>0</v>
      </c>
      <c r="AL20" s="31">
        <f t="shared" si="32"/>
        <v>0</v>
      </c>
      <c r="AM20" s="31">
        <f t="shared" si="32"/>
        <v>0</v>
      </c>
      <c r="AN20" s="31">
        <f t="shared" si="32"/>
        <v>0</v>
      </c>
      <c r="AO20" s="31">
        <f t="shared" si="32"/>
        <v>0</v>
      </c>
      <c r="AP20" s="31">
        <f t="shared" si="32"/>
        <v>0</v>
      </c>
      <c r="AQ20" s="31">
        <f t="shared" si="32"/>
        <v>0</v>
      </c>
      <c r="AR20" s="31">
        <f t="shared" si="32"/>
        <v>0</v>
      </c>
      <c r="AS20" s="31">
        <f t="shared" si="32"/>
        <v>0</v>
      </c>
      <c r="AT20" s="31">
        <f t="shared" si="32"/>
        <v>0</v>
      </c>
      <c r="AU20" s="31">
        <f t="shared" si="32"/>
        <v>0</v>
      </c>
      <c r="AW20" s="22">
        <f t="shared" si="14"/>
        <v>0</v>
      </c>
      <c r="AX20" s="22">
        <f t="shared" si="15"/>
        <v>0</v>
      </c>
      <c r="AY20" s="22">
        <f t="shared" si="16"/>
        <v>0</v>
      </c>
      <c r="AZ20" s="22">
        <f t="shared" si="17"/>
        <v>0</v>
      </c>
      <c r="BA20" s="22">
        <f t="shared" si="18"/>
        <v>0</v>
      </c>
      <c r="BB20" s="22">
        <f t="shared" si="19"/>
        <v>0</v>
      </c>
      <c r="BC20" s="22">
        <f t="shared" si="20"/>
        <v>0</v>
      </c>
      <c r="BD20" s="22">
        <f t="shared" si="21"/>
        <v>0</v>
      </c>
      <c r="BE20" s="22">
        <f t="shared" si="22"/>
        <v>0</v>
      </c>
      <c r="BF20" s="22">
        <f t="shared" si="23"/>
        <v>0</v>
      </c>
      <c r="BG20" s="22">
        <f t="shared" si="24"/>
        <v>0</v>
      </c>
      <c r="BH20" s="22">
        <f t="shared" si="25"/>
        <v>0</v>
      </c>
      <c r="BI20" s="22">
        <f t="shared" si="26"/>
        <v>0</v>
      </c>
      <c r="BJ20" s="22">
        <f t="shared" si="27"/>
        <v>0</v>
      </c>
      <c r="BK20" s="22">
        <f t="shared" si="28"/>
        <v>0</v>
      </c>
      <c r="BL20" s="22">
        <f t="shared" si="29"/>
        <v>0</v>
      </c>
      <c r="BM20" s="22" t="str">
        <f t="shared" si="30"/>
        <v>OK</v>
      </c>
    </row>
    <row r="21" spans="1:65">
      <c r="A21" s="29">
        <f>補助簿!B21</f>
        <v>41085</v>
      </c>
      <c r="B21" s="151">
        <f>命令簿!C24</f>
        <v>0</v>
      </c>
      <c r="C21" t="b">
        <f>VLOOKUP($B21,勤務形態オプション!$A$3:$D$10,C$6,FALSE)</f>
        <v>1</v>
      </c>
      <c r="D21" t="b">
        <f>VLOOKUP($B21,勤務形態オプション!$A$3:$D$10,D$6,FALSE)</f>
        <v>0</v>
      </c>
      <c r="E21" t="b">
        <f>VLOOKUP($B21,勤務形態オプション!$A$3:$D$10,E$6,FALSE)</f>
        <v>0</v>
      </c>
      <c r="F21" s="50">
        <f>補助簿!$E21</f>
        <v>0</v>
      </c>
      <c r="G21" s="50">
        <f>補助簿!$F21</f>
        <v>0</v>
      </c>
      <c r="H21" s="50">
        <f>補助簿!$C21</f>
        <v>0</v>
      </c>
      <c r="I21" s="50">
        <f>補助簿!$D21</f>
        <v>0</v>
      </c>
      <c r="J21" s="58">
        <v>1</v>
      </c>
      <c r="K21" s="50">
        <f>IF(命令簿!D22&lt;&gt;"",命令簿!D22,0)</f>
        <v>0</v>
      </c>
      <c r="L21" s="50">
        <f>IF(命令簿!G22&lt;&gt;"",命令簿!G22,IF(命令簿!F22&lt;&gt;"",命令簿!F22,0))</f>
        <v>0</v>
      </c>
      <c r="M21" s="50">
        <f>IF(命令簿!I22&lt;&gt;"",命令簿!I22,$L21)</f>
        <v>0</v>
      </c>
      <c r="N21" s="50">
        <f>IF(命令簿!I22&lt;&gt;"",命令簿!F22,L21)</f>
        <v>0</v>
      </c>
      <c r="O21" s="50">
        <f t="shared" si="10"/>
        <v>0</v>
      </c>
      <c r="P21" s="355">
        <f>SUM(O21:O23)</f>
        <v>0</v>
      </c>
      <c r="R21" s="31">
        <f t="shared" si="0"/>
        <v>0</v>
      </c>
      <c r="S21" s="31">
        <f t="shared" si="1"/>
        <v>0</v>
      </c>
      <c r="T21" s="31">
        <f t="shared" si="2"/>
        <v>0</v>
      </c>
      <c r="U21" s="31">
        <f t="shared" si="3"/>
        <v>0</v>
      </c>
      <c r="V21" s="31">
        <f t="shared" si="4"/>
        <v>0</v>
      </c>
      <c r="W21" s="31">
        <f t="shared" si="31"/>
        <v>0</v>
      </c>
      <c r="X21" s="31">
        <f t="shared" si="11"/>
        <v>0</v>
      </c>
      <c r="Y21" s="31">
        <f t="shared" si="5"/>
        <v>0</v>
      </c>
      <c r="Z21" s="31">
        <f t="shared" si="5"/>
        <v>0</v>
      </c>
      <c r="AA21" s="31">
        <f t="shared" si="5"/>
        <v>0</v>
      </c>
      <c r="AB21" s="31">
        <f t="shared" si="5"/>
        <v>0</v>
      </c>
      <c r="AC21" s="31">
        <f t="shared" si="6"/>
        <v>0</v>
      </c>
      <c r="AD21" s="31">
        <f t="shared" si="7"/>
        <v>0</v>
      </c>
      <c r="AE21" s="31">
        <f t="shared" si="12"/>
        <v>0</v>
      </c>
      <c r="AF21" s="31">
        <f t="shared" si="13"/>
        <v>0</v>
      </c>
      <c r="AG21" s="31">
        <f t="shared" si="32"/>
        <v>0</v>
      </c>
      <c r="AH21" s="31">
        <f t="shared" si="32"/>
        <v>0</v>
      </c>
      <c r="AI21" s="31">
        <f t="shared" si="32"/>
        <v>0</v>
      </c>
      <c r="AJ21" s="31">
        <f t="shared" si="32"/>
        <v>0</v>
      </c>
      <c r="AK21" s="31">
        <f t="shared" si="32"/>
        <v>0</v>
      </c>
      <c r="AL21" s="31">
        <f t="shared" si="32"/>
        <v>0</v>
      </c>
      <c r="AM21" s="31">
        <f t="shared" si="32"/>
        <v>0</v>
      </c>
      <c r="AN21" s="31">
        <f t="shared" si="32"/>
        <v>0</v>
      </c>
      <c r="AO21" s="31">
        <f t="shared" si="32"/>
        <v>0</v>
      </c>
      <c r="AP21" s="31">
        <f t="shared" si="32"/>
        <v>0</v>
      </c>
      <c r="AQ21" s="31">
        <f t="shared" si="32"/>
        <v>0</v>
      </c>
      <c r="AR21" s="31">
        <f t="shared" si="32"/>
        <v>0</v>
      </c>
      <c r="AS21" s="31">
        <f t="shared" si="32"/>
        <v>0</v>
      </c>
      <c r="AT21" s="31">
        <f t="shared" si="32"/>
        <v>0</v>
      </c>
      <c r="AU21" s="31">
        <f t="shared" si="32"/>
        <v>0</v>
      </c>
      <c r="AW21" s="22">
        <f t="shared" si="14"/>
        <v>0</v>
      </c>
      <c r="AX21" s="22">
        <f t="shared" si="15"/>
        <v>0</v>
      </c>
      <c r="AY21" s="22">
        <f t="shared" si="16"/>
        <v>0</v>
      </c>
      <c r="AZ21" s="22">
        <f t="shared" si="17"/>
        <v>0</v>
      </c>
      <c r="BA21" s="22">
        <f t="shared" si="18"/>
        <v>0</v>
      </c>
      <c r="BB21" s="22">
        <f t="shared" si="19"/>
        <v>0</v>
      </c>
      <c r="BC21" s="22">
        <f t="shared" si="20"/>
        <v>0</v>
      </c>
      <c r="BD21" s="22">
        <f t="shared" si="21"/>
        <v>0</v>
      </c>
      <c r="BE21" s="22">
        <f t="shared" si="22"/>
        <v>0</v>
      </c>
      <c r="BF21" s="22">
        <f t="shared" si="23"/>
        <v>0</v>
      </c>
      <c r="BG21" s="22">
        <f t="shared" si="24"/>
        <v>0</v>
      </c>
      <c r="BH21" s="22">
        <f t="shared" si="25"/>
        <v>0</v>
      </c>
      <c r="BI21" s="22">
        <f t="shared" si="26"/>
        <v>0</v>
      </c>
      <c r="BJ21" s="22">
        <f t="shared" si="27"/>
        <v>0</v>
      </c>
      <c r="BK21" s="22">
        <f t="shared" si="28"/>
        <v>0</v>
      </c>
      <c r="BL21" s="22">
        <f t="shared" si="29"/>
        <v>0</v>
      </c>
      <c r="BM21" s="22" t="str">
        <f t="shared" si="30"/>
        <v>OK</v>
      </c>
    </row>
    <row r="22" spans="1:65">
      <c r="A22" s="29">
        <f>A21</f>
        <v>41085</v>
      </c>
      <c r="B22">
        <f>B21</f>
        <v>0</v>
      </c>
      <c r="C22" t="b">
        <f>VLOOKUP($B22,勤務形態オプション!$A$3:$D$10,C$6,FALSE)</f>
        <v>1</v>
      </c>
      <c r="D22" t="b">
        <f>VLOOKUP($B22,勤務形態オプション!$A$3:$D$10,D$6,FALSE)</f>
        <v>0</v>
      </c>
      <c r="E22" t="b">
        <f>VLOOKUP($B22,勤務形態オプション!$A$3:$D$10,E$6,FALSE)</f>
        <v>0</v>
      </c>
      <c r="F22" s="50">
        <f>F21</f>
        <v>0</v>
      </c>
      <c r="G22" s="50">
        <f>G21</f>
        <v>0</v>
      </c>
      <c r="H22" s="50">
        <f>H21</f>
        <v>0</v>
      </c>
      <c r="I22" s="50">
        <f>I21</f>
        <v>0</v>
      </c>
      <c r="J22" s="58">
        <v>2</v>
      </c>
      <c r="K22" s="50">
        <f>IF(命令簿!D23&lt;&gt;"",命令簿!D23,0)</f>
        <v>0</v>
      </c>
      <c r="L22" s="50">
        <f>IF(命令簿!G23&lt;&gt;"",命令簿!G23,IF(命令簿!F23&lt;&gt;"",命令簿!F23,0))</f>
        <v>0</v>
      </c>
      <c r="M22" s="50">
        <f>IF(命令簿!I23&lt;&gt;"",命令簿!I23,$L22)</f>
        <v>0</v>
      </c>
      <c r="N22" s="50">
        <f>IF(命令簿!I23&lt;&gt;"",命令簿!F23,L22)</f>
        <v>0</v>
      </c>
      <c r="O22" s="50">
        <f t="shared" si="10"/>
        <v>0</v>
      </c>
      <c r="P22" s="355"/>
      <c r="R22" s="31">
        <f t="shared" si="0"/>
        <v>0</v>
      </c>
      <c r="S22" s="31">
        <f t="shared" si="1"/>
        <v>0</v>
      </c>
      <c r="T22" s="31">
        <f t="shared" si="2"/>
        <v>0</v>
      </c>
      <c r="U22" s="31">
        <f t="shared" si="3"/>
        <v>0</v>
      </c>
      <c r="V22" s="31">
        <f t="shared" si="4"/>
        <v>0</v>
      </c>
      <c r="W22" s="31">
        <f t="shared" si="31"/>
        <v>0</v>
      </c>
      <c r="X22" s="31">
        <f t="shared" si="11"/>
        <v>0</v>
      </c>
      <c r="Y22" s="31">
        <f t="shared" si="5"/>
        <v>0</v>
      </c>
      <c r="Z22" s="31">
        <f t="shared" si="5"/>
        <v>0</v>
      </c>
      <c r="AA22" s="31">
        <f t="shared" si="5"/>
        <v>0</v>
      </c>
      <c r="AB22" s="31">
        <f t="shared" si="5"/>
        <v>0</v>
      </c>
      <c r="AC22" s="31">
        <f t="shared" si="6"/>
        <v>0</v>
      </c>
      <c r="AD22" s="31">
        <f t="shared" si="7"/>
        <v>0</v>
      </c>
      <c r="AE22" s="31">
        <f t="shared" si="12"/>
        <v>0</v>
      </c>
      <c r="AF22" s="31">
        <f t="shared" si="13"/>
        <v>0</v>
      </c>
      <c r="AG22" s="31">
        <f t="shared" si="32"/>
        <v>0</v>
      </c>
      <c r="AH22" s="31">
        <f t="shared" si="32"/>
        <v>0</v>
      </c>
      <c r="AI22" s="31">
        <f t="shared" si="32"/>
        <v>0</v>
      </c>
      <c r="AJ22" s="31">
        <f t="shared" si="32"/>
        <v>0</v>
      </c>
      <c r="AK22" s="31">
        <f t="shared" si="32"/>
        <v>0</v>
      </c>
      <c r="AL22" s="31">
        <f t="shared" si="32"/>
        <v>0</v>
      </c>
      <c r="AM22" s="31">
        <f t="shared" si="32"/>
        <v>0</v>
      </c>
      <c r="AN22" s="31">
        <f t="shared" si="32"/>
        <v>0</v>
      </c>
      <c r="AO22" s="31">
        <f t="shared" si="32"/>
        <v>0</v>
      </c>
      <c r="AP22" s="31">
        <f t="shared" si="32"/>
        <v>0</v>
      </c>
      <c r="AQ22" s="31">
        <f t="shared" si="32"/>
        <v>0</v>
      </c>
      <c r="AR22" s="31">
        <f t="shared" si="32"/>
        <v>0</v>
      </c>
      <c r="AS22" s="31">
        <f t="shared" si="32"/>
        <v>0</v>
      </c>
      <c r="AT22" s="31">
        <f t="shared" si="32"/>
        <v>0</v>
      </c>
      <c r="AU22" s="31">
        <f t="shared" si="32"/>
        <v>0</v>
      </c>
      <c r="AW22" s="22">
        <f t="shared" si="14"/>
        <v>0</v>
      </c>
      <c r="AX22" s="22">
        <f t="shared" si="15"/>
        <v>0</v>
      </c>
      <c r="AY22" s="22">
        <f t="shared" si="16"/>
        <v>0</v>
      </c>
      <c r="AZ22" s="22">
        <f t="shared" si="17"/>
        <v>0</v>
      </c>
      <c r="BA22" s="22">
        <f t="shared" si="18"/>
        <v>0</v>
      </c>
      <c r="BB22" s="22">
        <f t="shared" si="19"/>
        <v>0</v>
      </c>
      <c r="BC22" s="22">
        <f t="shared" si="20"/>
        <v>0</v>
      </c>
      <c r="BD22" s="22">
        <f t="shared" si="21"/>
        <v>0</v>
      </c>
      <c r="BE22" s="22">
        <f t="shared" si="22"/>
        <v>0</v>
      </c>
      <c r="BF22" s="22">
        <f t="shared" si="23"/>
        <v>0</v>
      </c>
      <c r="BG22" s="22">
        <f t="shared" si="24"/>
        <v>0</v>
      </c>
      <c r="BH22" s="22">
        <f t="shared" si="25"/>
        <v>0</v>
      </c>
      <c r="BI22" s="22">
        <f t="shared" si="26"/>
        <v>0</v>
      </c>
      <c r="BJ22" s="22">
        <f t="shared" si="27"/>
        <v>0</v>
      </c>
      <c r="BK22" s="22">
        <f t="shared" si="28"/>
        <v>0</v>
      </c>
      <c r="BL22" s="22">
        <f t="shared" si="29"/>
        <v>0</v>
      </c>
      <c r="BM22" s="22" t="str">
        <f t="shared" si="30"/>
        <v>OK</v>
      </c>
    </row>
    <row r="23" spans="1:65">
      <c r="A23" s="29">
        <f>A22</f>
        <v>41085</v>
      </c>
      <c r="B23">
        <f>B22</f>
        <v>0</v>
      </c>
      <c r="C23" t="b">
        <f>VLOOKUP($B23,勤務形態オプション!$A$3:$D$10,C$6,FALSE)</f>
        <v>1</v>
      </c>
      <c r="D23" t="b">
        <f>VLOOKUP($B23,勤務形態オプション!$A$3:$D$10,D$6,FALSE)</f>
        <v>0</v>
      </c>
      <c r="E23" t="b">
        <f>VLOOKUP($B23,勤務形態オプション!$A$3:$D$10,E$6,FALSE)</f>
        <v>0</v>
      </c>
      <c r="F23" s="50">
        <f>F21</f>
        <v>0</v>
      </c>
      <c r="G23" s="50">
        <f>G21</f>
        <v>0</v>
      </c>
      <c r="H23" s="50">
        <f>H21</f>
        <v>0</v>
      </c>
      <c r="I23" s="50">
        <f>I21</f>
        <v>0</v>
      </c>
      <c r="J23" s="58">
        <v>3</v>
      </c>
      <c r="K23" s="50">
        <f>IF(命令簿!D24&lt;&gt;"",命令簿!D24,0)</f>
        <v>0</v>
      </c>
      <c r="L23" s="50">
        <f>IF(命令簿!G24&lt;&gt;"",命令簿!G24,IF(命令簿!F24&lt;&gt;"",命令簿!F24,0))</f>
        <v>0</v>
      </c>
      <c r="M23" s="50">
        <f>IF(命令簿!I24&lt;&gt;"",命令簿!I24,$L23)</f>
        <v>0</v>
      </c>
      <c r="N23" s="50">
        <f>IF(命令簿!I24&lt;&gt;"",命令簿!F24,L23)</f>
        <v>0</v>
      </c>
      <c r="O23" s="50">
        <f t="shared" si="10"/>
        <v>0</v>
      </c>
      <c r="P23" s="355"/>
      <c r="R23" s="31">
        <f t="shared" si="0"/>
        <v>0</v>
      </c>
      <c r="S23" s="31">
        <f t="shared" si="1"/>
        <v>0</v>
      </c>
      <c r="T23" s="31">
        <f t="shared" si="2"/>
        <v>0</v>
      </c>
      <c r="U23" s="31">
        <f t="shared" si="3"/>
        <v>0</v>
      </c>
      <c r="V23" s="31">
        <f t="shared" si="4"/>
        <v>0</v>
      </c>
      <c r="W23" s="31">
        <f t="shared" si="31"/>
        <v>0</v>
      </c>
      <c r="X23" s="31">
        <f t="shared" si="11"/>
        <v>0</v>
      </c>
      <c r="Y23" s="31">
        <f t="shared" si="5"/>
        <v>0</v>
      </c>
      <c r="Z23" s="31">
        <f t="shared" si="5"/>
        <v>0</v>
      </c>
      <c r="AA23" s="31">
        <f t="shared" si="5"/>
        <v>0</v>
      </c>
      <c r="AB23" s="31">
        <f t="shared" si="5"/>
        <v>0</v>
      </c>
      <c r="AC23" s="31">
        <f t="shared" si="6"/>
        <v>0</v>
      </c>
      <c r="AD23" s="31">
        <f t="shared" si="7"/>
        <v>0</v>
      </c>
      <c r="AE23" s="31">
        <f t="shared" si="12"/>
        <v>0</v>
      </c>
      <c r="AF23" s="31">
        <f t="shared" si="13"/>
        <v>0</v>
      </c>
      <c r="AG23" s="31">
        <f t="shared" si="32"/>
        <v>0</v>
      </c>
      <c r="AH23" s="31">
        <f t="shared" si="32"/>
        <v>0</v>
      </c>
      <c r="AI23" s="31">
        <f t="shared" si="32"/>
        <v>0</v>
      </c>
      <c r="AJ23" s="31">
        <f t="shared" si="32"/>
        <v>0</v>
      </c>
      <c r="AK23" s="31">
        <f t="shared" si="32"/>
        <v>0</v>
      </c>
      <c r="AL23" s="31">
        <f t="shared" si="32"/>
        <v>0</v>
      </c>
      <c r="AM23" s="31">
        <f t="shared" si="32"/>
        <v>0</v>
      </c>
      <c r="AN23" s="31">
        <f t="shared" si="32"/>
        <v>0</v>
      </c>
      <c r="AO23" s="31">
        <f t="shared" si="32"/>
        <v>0</v>
      </c>
      <c r="AP23" s="31">
        <f t="shared" si="32"/>
        <v>0</v>
      </c>
      <c r="AQ23" s="31">
        <f t="shared" si="32"/>
        <v>0</v>
      </c>
      <c r="AR23" s="31">
        <f t="shared" si="32"/>
        <v>0</v>
      </c>
      <c r="AS23" s="31">
        <f t="shared" si="32"/>
        <v>0</v>
      </c>
      <c r="AT23" s="31">
        <f t="shared" si="32"/>
        <v>0</v>
      </c>
      <c r="AU23" s="31">
        <f t="shared" si="32"/>
        <v>0</v>
      </c>
      <c r="AW23" s="22">
        <f t="shared" si="14"/>
        <v>0</v>
      </c>
      <c r="AX23" s="22">
        <f t="shared" si="15"/>
        <v>0</v>
      </c>
      <c r="AY23" s="22">
        <f t="shared" si="16"/>
        <v>0</v>
      </c>
      <c r="AZ23" s="22">
        <f t="shared" si="17"/>
        <v>0</v>
      </c>
      <c r="BA23" s="22">
        <f t="shared" si="18"/>
        <v>0</v>
      </c>
      <c r="BB23" s="22">
        <f t="shared" si="19"/>
        <v>0</v>
      </c>
      <c r="BC23" s="22">
        <f t="shared" si="20"/>
        <v>0</v>
      </c>
      <c r="BD23" s="22">
        <f t="shared" si="21"/>
        <v>0</v>
      </c>
      <c r="BE23" s="22">
        <f t="shared" si="22"/>
        <v>0</v>
      </c>
      <c r="BF23" s="22">
        <f t="shared" si="23"/>
        <v>0</v>
      </c>
      <c r="BG23" s="22">
        <f t="shared" si="24"/>
        <v>0</v>
      </c>
      <c r="BH23" s="22">
        <f t="shared" si="25"/>
        <v>0</v>
      </c>
      <c r="BI23" s="22">
        <f t="shared" si="26"/>
        <v>0</v>
      </c>
      <c r="BJ23" s="22">
        <f t="shared" si="27"/>
        <v>0</v>
      </c>
      <c r="BK23" s="22">
        <f t="shared" si="28"/>
        <v>0</v>
      </c>
      <c r="BL23" s="22">
        <f t="shared" si="29"/>
        <v>0</v>
      </c>
      <c r="BM23" s="22" t="str">
        <f t="shared" si="30"/>
        <v>OK</v>
      </c>
    </row>
    <row r="24" spans="1:65">
      <c r="A24" s="29">
        <f>補助簿!B24</f>
        <v>41086</v>
      </c>
      <c r="B24" s="150">
        <f>命令簿!C27</f>
        <v>0</v>
      </c>
      <c r="C24" t="b">
        <f>VLOOKUP($B24,勤務形態オプション!$A$3:$D$10,C$6,FALSE)</f>
        <v>1</v>
      </c>
      <c r="D24" t="b">
        <f>VLOOKUP($B24,勤務形態オプション!$A$3:$D$10,D$6,FALSE)</f>
        <v>0</v>
      </c>
      <c r="E24" t="b">
        <f>VLOOKUP($B24,勤務形態オプション!$A$3:$D$10,E$6,FALSE)</f>
        <v>0</v>
      </c>
      <c r="F24" s="50">
        <f>補助簿!$E24</f>
        <v>0</v>
      </c>
      <c r="G24" s="50">
        <f>補助簿!$F24</f>
        <v>0</v>
      </c>
      <c r="H24" s="50">
        <f>補助簿!$C24</f>
        <v>0</v>
      </c>
      <c r="I24" s="50">
        <f>補助簿!$D24</f>
        <v>0</v>
      </c>
      <c r="J24" s="58">
        <v>1</v>
      </c>
      <c r="K24" s="50">
        <f>IF(命令簿!D25&lt;&gt;"",命令簿!D25,0)</f>
        <v>0</v>
      </c>
      <c r="L24" s="50">
        <f>IF(命令簿!G25&lt;&gt;"",命令簿!G25,IF(命令簿!F25&lt;&gt;"",命令簿!F25,0))</f>
        <v>0</v>
      </c>
      <c r="M24" s="50">
        <f>IF(命令簿!I25&lt;&gt;"",命令簿!I25,$L24)</f>
        <v>0</v>
      </c>
      <c r="N24" s="50">
        <f>IF(命令簿!I25&lt;&gt;"",命令簿!F25,L24)</f>
        <v>0</v>
      </c>
      <c r="O24" s="50">
        <f t="shared" si="10"/>
        <v>0</v>
      </c>
      <c r="P24" s="355">
        <f>SUM(O24:O26)</f>
        <v>0</v>
      </c>
      <c r="R24" s="31">
        <f t="shared" si="0"/>
        <v>0</v>
      </c>
      <c r="S24" s="31">
        <f t="shared" si="1"/>
        <v>0</v>
      </c>
      <c r="T24" s="31">
        <f t="shared" si="2"/>
        <v>0</v>
      </c>
      <c r="U24" s="31">
        <f t="shared" si="3"/>
        <v>0</v>
      </c>
      <c r="V24" s="31">
        <f t="shared" si="4"/>
        <v>0</v>
      </c>
      <c r="W24" s="31">
        <f t="shared" si="31"/>
        <v>0</v>
      </c>
      <c r="X24" s="31">
        <f t="shared" si="11"/>
        <v>0</v>
      </c>
      <c r="Y24" s="31">
        <f t="shared" si="5"/>
        <v>0</v>
      </c>
      <c r="Z24" s="31">
        <f t="shared" si="5"/>
        <v>0</v>
      </c>
      <c r="AA24" s="31">
        <f t="shared" si="5"/>
        <v>0</v>
      </c>
      <c r="AB24" s="31">
        <f t="shared" si="5"/>
        <v>0</v>
      </c>
      <c r="AC24" s="31">
        <f t="shared" si="6"/>
        <v>0</v>
      </c>
      <c r="AD24" s="31">
        <f t="shared" si="7"/>
        <v>0</v>
      </c>
      <c r="AE24" s="31">
        <f t="shared" si="12"/>
        <v>0</v>
      </c>
      <c r="AF24" s="31">
        <f t="shared" si="13"/>
        <v>0</v>
      </c>
      <c r="AG24" s="31">
        <f t="shared" si="32"/>
        <v>0</v>
      </c>
      <c r="AH24" s="31">
        <f t="shared" si="32"/>
        <v>0</v>
      </c>
      <c r="AI24" s="31">
        <f t="shared" si="32"/>
        <v>0</v>
      </c>
      <c r="AJ24" s="31">
        <f t="shared" si="32"/>
        <v>0</v>
      </c>
      <c r="AK24" s="31">
        <f t="shared" si="32"/>
        <v>0</v>
      </c>
      <c r="AL24" s="31">
        <f t="shared" si="32"/>
        <v>0</v>
      </c>
      <c r="AM24" s="31">
        <f t="shared" si="32"/>
        <v>0</v>
      </c>
      <c r="AN24" s="31">
        <f t="shared" si="32"/>
        <v>0</v>
      </c>
      <c r="AO24" s="31">
        <f t="shared" si="32"/>
        <v>0</v>
      </c>
      <c r="AP24" s="31">
        <f t="shared" si="32"/>
        <v>0</v>
      </c>
      <c r="AQ24" s="31">
        <f t="shared" si="32"/>
        <v>0</v>
      </c>
      <c r="AR24" s="31">
        <f t="shared" si="32"/>
        <v>0</v>
      </c>
      <c r="AS24" s="31">
        <f t="shared" si="32"/>
        <v>0</v>
      </c>
      <c r="AT24" s="31">
        <f t="shared" si="32"/>
        <v>0</v>
      </c>
      <c r="AU24" s="31">
        <f t="shared" si="32"/>
        <v>0</v>
      </c>
      <c r="AW24" s="22">
        <f t="shared" si="14"/>
        <v>0</v>
      </c>
      <c r="AX24" s="22">
        <f t="shared" si="15"/>
        <v>0</v>
      </c>
      <c r="AY24" s="22">
        <f t="shared" si="16"/>
        <v>0</v>
      </c>
      <c r="AZ24" s="22">
        <f t="shared" si="17"/>
        <v>0</v>
      </c>
      <c r="BA24" s="22">
        <f t="shared" si="18"/>
        <v>0</v>
      </c>
      <c r="BB24" s="22">
        <f t="shared" si="19"/>
        <v>0</v>
      </c>
      <c r="BC24" s="22">
        <f t="shared" si="20"/>
        <v>0</v>
      </c>
      <c r="BD24" s="22">
        <f t="shared" si="21"/>
        <v>0</v>
      </c>
      <c r="BE24" s="22">
        <f t="shared" si="22"/>
        <v>0</v>
      </c>
      <c r="BF24" s="22">
        <f t="shared" si="23"/>
        <v>0</v>
      </c>
      <c r="BG24" s="22">
        <f t="shared" si="24"/>
        <v>0</v>
      </c>
      <c r="BH24" s="22">
        <f t="shared" si="25"/>
        <v>0</v>
      </c>
      <c r="BI24" s="22">
        <f t="shared" si="26"/>
        <v>0</v>
      </c>
      <c r="BJ24" s="22">
        <f t="shared" si="27"/>
        <v>0</v>
      </c>
      <c r="BK24" s="22">
        <f t="shared" si="28"/>
        <v>0</v>
      </c>
      <c r="BL24" s="22">
        <f t="shared" si="29"/>
        <v>0</v>
      </c>
      <c r="BM24" s="22" t="str">
        <f t="shared" si="30"/>
        <v>OK</v>
      </c>
    </row>
    <row r="25" spans="1:65">
      <c r="A25" s="29">
        <f>A24</f>
        <v>41086</v>
      </c>
      <c r="B25">
        <f>B24</f>
        <v>0</v>
      </c>
      <c r="C25" t="b">
        <f>VLOOKUP($B25,勤務形態オプション!$A$3:$D$10,C$6,FALSE)</f>
        <v>1</v>
      </c>
      <c r="D25" t="b">
        <f>VLOOKUP($B25,勤務形態オプション!$A$3:$D$10,D$6,FALSE)</f>
        <v>0</v>
      </c>
      <c r="E25" t="b">
        <f>VLOOKUP($B25,勤務形態オプション!$A$3:$D$10,E$6,FALSE)</f>
        <v>0</v>
      </c>
      <c r="F25" s="50">
        <f>F24</f>
        <v>0</v>
      </c>
      <c r="G25" s="50">
        <f>G24</f>
        <v>0</v>
      </c>
      <c r="H25" s="50">
        <f>H24</f>
        <v>0</v>
      </c>
      <c r="I25" s="50">
        <f>I24</f>
        <v>0</v>
      </c>
      <c r="J25" s="58">
        <v>2</v>
      </c>
      <c r="K25" s="50">
        <f>IF(命令簿!D26&lt;&gt;"",命令簿!D26,0)</f>
        <v>0</v>
      </c>
      <c r="L25" s="50">
        <f>IF(命令簿!G26&lt;&gt;"",命令簿!G26,IF(命令簿!F26&lt;&gt;"",命令簿!F26,0))</f>
        <v>0</v>
      </c>
      <c r="M25" s="50">
        <f>IF(命令簿!I26&lt;&gt;"",命令簿!I26,$L25)</f>
        <v>0</v>
      </c>
      <c r="N25" s="50">
        <f>IF(命令簿!I26&lt;&gt;"",命令簿!F26,L25)</f>
        <v>0</v>
      </c>
      <c r="O25" s="50">
        <f t="shared" si="10"/>
        <v>0</v>
      </c>
      <c r="P25" s="355"/>
      <c r="R25" s="31">
        <f t="shared" si="0"/>
        <v>0</v>
      </c>
      <c r="S25" s="31">
        <f t="shared" si="1"/>
        <v>0</v>
      </c>
      <c r="T25" s="31">
        <f t="shared" si="2"/>
        <v>0</v>
      </c>
      <c r="U25" s="31">
        <f t="shared" si="3"/>
        <v>0</v>
      </c>
      <c r="V25" s="31">
        <f t="shared" si="4"/>
        <v>0</v>
      </c>
      <c r="W25" s="31">
        <f t="shared" si="31"/>
        <v>0</v>
      </c>
      <c r="X25" s="31">
        <f t="shared" si="11"/>
        <v>0</v>
      </c>
      <c r="Y25" s="31">
        <f t="shared" si="5"/>
        <v>0</v>
      </c>
      <c r="Z25" s="31">
        <f t="shared" si="5"/>
        <v>0</v>
      </c>
      <c r="AA25" s="31">
        <f t="shared" si="5"/>
        <v>0</v>
      </c>
      <c r="AB25" s="31">
        <f t="shared" si="5"/>
        <v>0</v>
      </c>
      <c r="AC25" s="31">
        <f t="shared" si="6"/>
        <v>0</v>
      </c>
      <c r="AD25" s="31">
        <f t="shared" si="7"/>
        <v>0</v>
      </c>
      <c r="AE25" s="31">
        <f t="shared" si="12"/>
        <v>0</v>
      </c>
      <c r="AF25" s="31">
        <f t="shared" si="13"/>
        <v>0</v>
      </c>
      <c r="AG25" s="31">
        <f t="shared" si="32"/>
        <v>0</v>
      </c>
      <c r="AH25" s="31">
        <f t="shared" si="32"/>
        <v>0</v>
      </c>
      <c r="AI25" s="31">
        <f t="shared" si="32"/>
        <v>0</v>
      </c>
      <c r="AJ25" s="31">
        <f t="shared" si="32"/>
        <v>0</v>
      </c>
      <c r="AK25" s="31">
        <f t="shared" si="32"/>
        <v>0</v>
      </c>
      <c r="AL25" s="31">
        <f t="shared" si="32"/>
        <v>0</v>
      </c>
      <c r="AM25" s="31">
        <f t="shared" si="32"/>
        <v>0</v>
      </c>
      <c r="AN25" s="31">
        <f t="shared" si="32"/>
        <v>0</v>
      </c>
      <c r="AO25" s="31">
        <f t="shared" si="32"/>
        <v>0</v>
      </c>
      <c r="AP25" s="31">
        <f t="shared" si="32"/>
        <v>0</v>
      </c>
      <c r="AQ25" s="31">
        <f t="shared" si="32"/>
        <v>0</v>
      </c>
      <c r="AR25" s="31">
        <f t="shared" si="32"/>
        <v>0</v>
      </c>
      <c r="AS25" s="31">
        <f t="shared" si="32"/>
        <v>0</v>
      </c>
      <c r="AT25" s="31">
        <f t="shared" si="32"/>
        <v>0</v>
      </c>
      <c r="AU25" s="31">
        <f t="shared" si="32"/>
        <v>0</v>
      </c>
      <c r="AW25" s="22">
        <f t="shared" si="14"/>
        <v>0</v>
      </c>
      <c r="AX25" s="22">
        <f t="shared" si="15"/>
        <v>0</v>
      </c>
      <c r="AY25" s="22">
        <f t="shared" si="16"/>
        <v>0</v>
      </c>
      <c r="AZ25" s="22">
        <f t="shared" si="17"/>
        <v>0</v>
      </c>
      <c r="BA25" s="22">
        <f t="shared" si="18"/>
        <v>0</v>
      </c>
      <c r="BB25" s="22">
        <f t="shared" si="19"/>
        <v>0</v>
      </c>
      <c r="BC25" s="22">
        <f t="shared" si="20"/>
        <v>0</v>
      </c>
      <c r="BD25" s="22">
        <f t="shared" si="21"/>
        <v>0</v>
      </c>
      <c r="BE25" s="22">
        <f t="shared" si="22"/>
        <v>0</v>
      </c>
      <c r="BF25" s="22">
        <f t="shared" si="23"/>
        <v>0</v>
      </c>
      <c r="BG25" s="22">
        <f t="shared" si="24"/>
        <v>0</v>
      </c>
      <c r="BH25" s="22">
        <f t="shared" si="25"/>
        <v>0</v>
      </c>
      <c r="BI25" s="22">
        <f t="shared" si="26"/>
        <v>0</v>
      </c>
      <c r="BJ25" s="22">
        <f t="shared" si="27"/>
        <v>0</v>
      </c>
      <c r="BK25" s="22">
        <f t="shared" si="28"/>
        <v>0</v>
      </c>
      <c r="BL25" s="22">
        <f t="shared" si="29"/>
        <v>0</v>
      </c>
      <c r="BM25" s="22" t="str">
        <f t="shared" si="30"/>
        <v>OK</v>
      </c>
    </row>
    <row r="26" spans="1:65">
      <c r="A26" s="29">
        <f>A25</f>
        <v>41086</v>
      </c>
      <c r="B26">
        <f>B25</f>
        <v>0</v>
      </c>
      <c r="C26" t="b">
        <f>VLOOKUP($B26,勤務形態オプション!$A$3:$D$10,C$6,FALSE)</f>
        <v>1</v>
      </c>
      <c r="D26" t="b">
        <f>VLOOKUP($B26,勤務形態オプション!$A$3:$D$10,D$6,FALSE)</f>
        <v>0</v>
      </c>
      <c r="E26" t="b">
        <f>VLOOKUP($B26,勤務形態オプション!$A$3:$D$10,E$6,FALSE)</f>
        <v>0</v>
      </c>
      <c r="F26" s="50">
        <f>F24</f>
        <v>0</v>
      </c>
      <c r="G26" s="50">
        <f>G24</f>
        <v>0</v>
      </c>
      <c r="H26" s="50">
        <f>H24</f>
        <v>0</v>
      </c>
      <c r="I26" s="50">
        <f>I24</f>
        <v>0</v>
      </c>
      <c r="J26" s="58">
        <v>3</v>
      </c>
      <c r="K26" s="50">
        <f>IF(命令簿!D27&lt;&gt;"",命令簿!D27,0)</f>
        <v>0</v>
      </c>
      <c r="L26" s="50">
        <f>IF(命令簿!G27&lt;&gt;"",命令簿!G27,IF(命令簿!F27&lt;&gt;"",命令簿!F27,0))</f>
        <v>0</v>
      </c>
      <c r="M26" s="50">
        <f>IF(命令簿!I27&lt;&gt;"",命令簿!I27,$L26)</f>
        <v>0</v>
      </c>
      <c r="N26" s="50">
        <f>IF(命令簿!I27&lt;&gt;"",命令簿!F27,L26)</f>
        <v>0</v>
      </c>
      <c r="O26" s="50">
        <f t="shared" si="10"/>
        <v>0</v>
      </c>
      <c r="P26" s="355"/>
      <c r="R26" s="31">
        <f t="shared" si="0"/>
        <v>0</v>
      </c>
      <c r="S26" s="31">
        <f t="shared" si="1"/>
        <v>0</v>
      </c>
      <c r="T26" s="31">
        <f t="shared" si="2"/>
        <v>0</v>
      </c>
      <c r="U26" s="31">
        <f t="shared" si="3"/>
        <v>0</v>
      </c>
      <c r="V26" s="31">
        <f t="shared" si="4"/>
        <v>0</v>
      </c>
      <c r="W26" s="31">
        <f t="shared" si="31"/>
        <v>0</v>
      </c>
      <c r="X26" s="31">
        <f t="shared" si="11"/>
        <v>0</v>
      </c>
      <c r="Y26" s="31">
        <f t="shared" si="5"/>
        <v>0</v>
      </c>
      <c r="Z26" s="31">
        <f t="shared" si="5"/>
        <v>0</v>
      </c>
      <c r="AA26" s="31">
        <f t="shared" si="5"/>
        <v>0</v>
      </c>
      <c r="AB26" s="31">
        <f t="shared" si="5"/>
        <v>0</v>
      </c>
      <c r="AC26" s="31">
        <f t="shared" si="6"/>
        <v>0</v>
      </c>
      <c r="AD26" s="31">
        <f t="shared" si="7"/>
        <v>0</v>
      </c>
      <c r="AE26" s="31">
        <f t="shared" si="12"/>
        <v>0</v>
      </c>
      <c r="AF26" s="31">
        <f t="shared" si="13"/>
        <v>0</v>
      </c>
      <c r="AG26" s="31">
        <f t="shared" si="32"/>
        <v>0</v>
      </c>
      <c r="AH26" s="31">
        <f t="shared" si="32"/>
        <v>0</v>
      </c>
      <c r="AI26" s="31">
        <f t="shared" si="32"/>
        <v>0</v>
      </c>
      <c r="AJ26" s="31">
        <f t="shared" si="32"/>
        <v>0</v>
      </c>
      <c r="AK26" s="31">
        <f t="shared" si="32"/>
        <v>0</v>
      </c>
      <c r="AL26" s="31">
        <f t="shared" si="32"/>
        <v>0</v>
      </c>
      <c r="AM26" s="31">
        <f t="shared" si="32"/>
        <v>0</v>
      </c>
      <c r="AN26" s="31">
        <f t="shared" si="32"/>
        <v>0</v>
      </c>
      <c r="AO26" s="31">
        <f t="shared" si="32"/>
        <v>0</v>
      </c>
      <c r="AP26" s="31">
        <f t="shared" si="32"/>
        <v>0</v>
      </c>
      <c r="AQ26" s="31">
        <f t="shared" si="32"/>
        <v>0</v>
      </c>
      <c r="AR26" s="31">
        <f t="shared" si="32"/>
        <v>0</v>
      </c>
      <c r="AS26" s="31">
        <f t="shared" si="32"/>
        <v>0</v>
      </c>
      <c r="AT26" s="31">
        <f t="shared" si="32"/>
        <v>0</v>
      </c>
      <c r="AU26" s="31">
        <f t="shared" si="32"/>
        <v>0</v>
      </c>
      <c r="AW26" s="22">
        <f t="shared" si="14"/>
        <v>0</v>
      </c>
      <c r="AX26" s="22">
        <f t="shared" si="15"/>
        <v>0</v>
      </c>
      <c r="AY26" s="22">
        <f t="shared" si="16"/>
        <v>0</v>
      </c>
      <c r="AZ26" s="22">
        <f t="shared" si="17"/>
        <v>0</v>
      </c>
      <c r="BA26" s="22">
        <f t="shared" si="18"/>
        <v>0</v>
      </c>
      <c r="BB26" s="22">
        <f t="shared" si="19"/>
        <v>0</v>
      </c>
      <c r="BC26" s="22">
        <f t="shared" si="20"/>
        <v>0</v>
      </c>
      <c r="BD26" s="22">
        <f t="shared" si="21"/>
        <v>0</v>
      </c>
      <c r="BE26" s="22">
        <f t="shared" si="22"/>
        <v>0</v>
      </c>
      <c r="BF26" s="22">
        <f t="shared" si="23"/>
        <v>0</v>
      </c>
      <c r="BG26" s="22">
        <f t="shared" si="24"/>
        <v>0</v>
      </c>
      <c r="BH26" s="22">
        <f t="shared" si="25"/>
        <v>0</v>
      </c>
      <c r="BI26" s="22">
        <f t="shared" si="26"/>
        <v>0</v>
      </c>
      <c r="BJ26" s="22">
        <f t="shared" si="27"/>
        <v>0</v>
      </c>
      <c r="BK26" s="22">
        <f t="shared" si="28"/>
        <v>0</v>
      </c>
      <c r="BL26" s="22">
        <f t="shared" si="29"/>
        <v>0</v>
      </c>
      <c r="BM26" s="22" t="str">
        <f t="shared" si="30"/>
        <v>OK</v>
      </c>
    </row>
    <row r="27" spans="1:65">
      <c r="A27" s="29">
        <f>補助簿!B27</f>
        <v>41087</v>
      </c>
      <c r="B27" s="151">
        <f>命令簿!C30</f>
        <v>0</v>
      </c>
      <c r="C27" t="b">
        <f>VLOOKUP($B27,勤務形態オプション!$A$3:$D$10,C$6,FALSE)</f>
        <v>1</v>
      </c>
      <c r="D27" t="b">
        <f>VLOOKUP($B27,勤務形態オプション!$A$3:$D$10,D$6,FALSE)</f>
        <v>0</v>
      </c>
      <c r="E27" t="b">
        <f>VLOOKUP($B27,勤務形態オプション!$A$3:$D$10,E$6,FALSE)</f>
        <v>0</v>
      </c>
      <c r="F27" s="50">
        <f>補助簿!$E27</f>
        <v>0</v>
      </c>
      <c r="G27" s="50">
        <f>補助簿!$F27</f>
        <v>0</v>
      </c>
      <c r="H27" s="50">
        <f>補助簿!$C27</f>
        <v>0</v>
      </c>
      <c r="I27" s="50">
        <f>補助簿!$D27</f>
        <v>0</v>
      </c>
      <c r="J27" s="58">
        <v>1</v>
      </c>
      <c r="K27" s="50">
        <f>IF(命令簿!D28&lt;&gt;"",命令簿!D28,0)</f>
        <v>0</v>
      </c>
      <c r="L27" s="50">
        <f>IF(命令簿!G28&lt;&gt;"",命令簿!G28,IF(命令簿!F28&lt;&gt;"",命令簿!F28,0))</f>
        <v>0</v>
      </c>
      <c r="M27" s="50">
        <f>IF(命令簿!I28&lt;&gt;"",命令簿!I28,$L27)</f>
        <v>0</v>
      </c>
      <c r="N27" s="50">
        <f>IF(命令簿!I28&lt;&gt;"",命令簿!F28,L27)</f>
        <v>0</v>
      </c>
      <c r="O27" s="50">
        <f t="shared" si="10"/>
        <v>0</v>
      </c>
      <c r="P27" s="355">
        <f>SUM(O27:O29)</f>
        <v>0</v>
      </c>
      <c r="R27" s="31">
        <f t="shared" si="0"/>
        <v>0</v>
      </c>
      <c r="S27" s="31">
        <f t="shared" si="1"/>
        <v>0</v>
      </c>
      <c r="T27" s="31">
        <f t="shared" si="2"/>
        <v>0</v>
      </c>
      <c r="U27" s="31">
        <f t="shared" si="3"/>
        <v>0</v>
      </c>
      <c r="V27" s="31">
        <f t="shared" si="4"/>
        <v>0</v>
      </c>
      <c r="W27" s="31">
        <f t="shared" si="31"/>
        <v>0</v>
      </c>
      <c r="X27" s="31">
        <f t="shared" si="11"/>
        <v>0</v>
      </c>
      <c r="Y27" s="31">
        <f t="shared" si="5"/>
        <v>0</v>
      </c>
      <c r="Z27" s="31">
        <f t="shared" si="5"/>
        <v>0</v>
      </c>
      <c r="AA27" s="31">
        <f t="shared" si="5"/>
        <v>0</v>
      </c>
      <c r="AB27" s="31">
        <f t="shared" si="5"/>
        <v>0</v>
      </c>
      <c r="AC27" s="31">
        <f t="shared" si="6"/>
        <v>0</v>
      </c>
      <c r="AD27" s="31">
        <f t="shared" si="7"/>
        <v>0</v>
      </c>
      <c r="AE27" s="31">
        <f t="shared" si="12"/>
        <v>0</v>
      </c>
      <c r="AF27" s="31">
        <f t="shared" si="13"/>
        <v>0</v>
      </c>
      <c r="AG27" s="31">
        <f t="shared" si="32"/>
        <v>0</v>
      </c>
      <c r="AH27" s="31">
        <f t="shared" si="32"/>
        <v>0</v>
      </c>
      <c r="AI27" s="31">
        <f t="shared" si="32"/>
        <v>0</v>
      </c>
      <c r="AJ27" s="31">
        <f t="shared" si="32"/>
        <v>0</v>
      </c>
      <c r="AK27" s="31">
        <f t="shared" si="32"/>
        <v>0</v>
      </c>
      <c r="AL27" s="31">
        <f t="shared" si="32"/>
        <v>0</v>
      </c>
      <c r="AM27" s="31">
        <f t="shared" si="32"/>
        <v>0</v>
      </c>
      <c r="AN27" s="31">
        <f t="shared" si="32"/>
        <v>0</v>
      </c>
      <c r="AO27" s="31">
        <f t="shared" si="32"/>
        <v>0</v>
      </c>
      <c r="AP27" s="31">
        <f t="shared" si="32"/>
        <v>0</v>
      </c>
      <c r="AQ27" s="31">
        <f t="shared" si="32"/>
        <v>0</v>
      </c>
      <c r="AR27" s="31">
        <f t="shared" si="32"/>
        <v>0</v>
      </c>
      <c r="AS27" s="31">
        <f t="shared" si="32"/>
        <v>0</v>
      </c>
      <c r="AT27" s="31">
        <f t="shared" si="32"/>
        <v>0</v>
      </c>
      <c r="AU27" s="31">
        <f t="shared" si="32"/>
        <v>0</v>
      </c>
      <c r="AW27" s="22">
        <f t="shared" si="14"/>
        <v>0</v>
      </c>
      <c r="AX27" s="22">
        <f t="shared" si="15"/>
        <v>0</v>
      </c>
      <c r="AY27" s="22">
        <f t="shared" si="16"/>
        <v>0</v>
      </c>
      <c r="AZ27" s="22">
        <f t="shared" si="17"/>
        <v>0</v>
      </c>
      <c r="BA27" s="22">
        <f t="shared" si="18"/>
        <v>0</v>
      </c>
      <c r="BB27" s="22">
        <f t="shared" si="19"/>
        <v>0</v>
      </c>
      <c r="BC27" s="22">
        <f t="shared" si="20"/>
        <v>0</v>
      </c>
      <c r="BD27" s="22">
        <f t="shared" si="21"/>
        <v>0</v>
      </c>
      <c r="BE27" s="22">
        <f t="shared" si="22"/>
        <v>0</v>
      </c>
      <c r="BF27" s="22">
        <f t="shared" si="23"/>
        <v>0</v>
      </c>
      <c r="BG27" s="22">
        <f t="shared" si="24"/>
        <v>0</v>
      </c>
      <c r="BH27" s="22">
        <f t="shared" si="25"/>
        <v>0</v>
      </c>
      <c r="BI27" s="22">
        <f t="shared" si="26"/>
        <v>0</v>
      </c>
      <c r="BJ27" s="22">
        <f t="shared" si="27"/>
        <v>0</v>
      </c>
      <c r="BK27" s="22">
        <f t="shared" si="28"/>
        <v>0</v>
      </c>
      <c r="BL27" s="22">
        <f t="shared" si="29"/>
        <v>0</v>
      </c>
      <c r="BM27" s="22" t="str">
        <f t="shared" si="30"/>
        <v>OK</v>
      </c>
    </row>
    <row r="28" spans="1:65">
      <c r="A28" s="29">
        <f>A27</f>
        <v>41087</v>
      </c>
      <c r="B28">
        <f>B27</f>
        <v>0</v>
      </c>
      <c r="C28" t="b">
        <f>VLOOKUP($B28,勤務形態オプション!$A$3:$D$10,C$6,FALSE)</f>
        <v>1</v>
      </c>
      <c r="D28" t="b">
        <f>VLOOKUP($B28,勤務形態オプション!$A$3:$D$10,D$6,FALSE)</f>
        <v>0</v>
      </c>
      <c r="E28" t="b">
        <f>VLOOKUP($B28,勤務形態オプション!$A$3:$D$10,E$6,FALSE)</f>
        <v>0</v>
      </c>
      <c r="F28" s="50">
        <f>F27</f>
        <v>0</v>
      </c>
      <c r="G28" s="50">
        <f>G27</f>
        <v>0</v>
      </c>
      <c r="H28" s="50">
        <f>H27</f>
        <v>0</v>
      </c>
      <c r="I28" s="50">
        <f>I27</f>
        <v>0</v>
      </c>
      <c r="J28" s="58">
        <v>2</v>
      </c>
      <c r="K28" s="50">
        <f>IF(命令簿!D29&lt;&gt;"",命令簿!D29,0)</f>
        <v>0</v>
      </c>
      <c r="L28" s="50">
        <f>IF(命令簿!G29&lt;&gt;"",命令簿!G29,IF(命令簿!F29&lt;&gt;"",命令簿!F29,0))</f>
        <v>0</v>
      </c>
      <c r="M28" s="50">
        <f>IF(命令簿!I29&lt;&gt;"",命令簿!I29,$L28)</f>
        <v>0</v>
      </c>
      <c r="N28" s="50">
        <f>IF(命令簿!I29&lt;&gt;"",命令簿!F29,L28)</f>
        <v>0</v>
      </c>
      <c r="O28" s="50">
        <f t="shared" si="10"/>
        <v>0</v>
      </c>
      <c r="P28" s="355"/>
      <c r="R28" s="31">
        <f t="shared" si="0"/>
        <v>0</v>
      </c>
      <c r="S28" s="31">
        <f t="shared" si="1"/>
        <v>0</v>
      </c>
      <c r="T28" s="31">
        <f t="shared" si="2"/>
        <v>0</v>
      </c>
      <c r="U28" s="31">
        <f t="shared" si="3"/>
        <v>0</v>
      </c>
      <c r="V28" s="31">
        <f t="shared" si="4"/>
        <v>0</v>
      </c>
      <c r="W28" s="31">
        <f t="shared" si="31"/>
        <v>0</v>
      </c>
      <c r="X28" s="31">
        <f t="shared" si="11"/>
        <v>0</v>
      </c>
      <c r="Y28" s="31">
        <f t="shared" si="5"/>
        <v>0</v>
      </c>
      <c r="Z28" s="31">
        <f t="shared" si="5"/>
        <v>0</v>
      </c>
      <c r="AA28" s="31">
        <f t="shared" si="5"/>
        <v>0</v>
      </c>
      <c r="AB28" s="31">
        <f t="shared" si="5"/>
        <v>0</v>
      </c>
      <c r="AC28" s="31">
        <f t="shared" si="6"/>
        <v>0</v>
      </c>
      <c r="AD28" s="31">
        <f t="shared" si="7"/>
        <v>0</v>
      </c>
      <c r="AE28" s="31">
        <f t="shared" si="12"/>
        <v>0</v>
      </c>
      <c r="AF28" s="31">
        <f t="shared" si="13"/>
        <v>0</v>
      </c>
      <c r="AG28" s="31">
        <f t="shared" si="32"/>
        <v>0</v>
      </c>
      <c r="AH28" s="31">
        <f t="shared" si="32"/>
        <v>0</v>
      </c>
      <c r="AI28" s="31">
        <f t="shared" si="32"/>
        <v>0</v>
      </c>
      <c r="AJ28" s="31">
        <f t="shared" si="32"/>
        <v>0</v>
      </c>
      <c r="AK28" s="31">
        <f t="shared" si="32"/>
        <v>0</v>
      </c>
      <c r="AL28" s="31">
        <f t="shared" si="32"/>
        <v>0</v>
      </c>
      <c r="AM28" s="31">
        <f t="shared" si="32"/>
        <v>0</v>
      </c>
      <c r="AN28" s="31">
        <f t="shared" si="32"/>
        <v>0</v>
      </c>
      <c r="AO28" s="31">
        <f t="shared" si="32"/>
        <v>0</v>
      </c>
      <c r="AP28" s="31">
        <f t="shared" si="32"/>
        <v>0</v>
      </c>
      <c r="AQ28" s="31">
        <f t="shared" si="32"/>
        <v>0</v>
      </c>
      <c r="AR28" s="31">
        <f t="shared" si="32"/>
        <v>0</v>
      </c>
      <c r="AS28" s="31">
        <f t="shared" si="32"/>
        <v>0</v>
      </c>
      <c r="AT28" s="31">
        <f t="shared" si="32"/>
        <v>0</v>
      </c>
      <c r="AU28" s="31">
        <f t="shared" si="32"/>
        <v>0</v>
      </c>
      <c r="AW28" s="22">
        <f t="shared" si="14"/>
        <v>0</v>
      </c>
      <c r="AX28" s="22">
        <f t="shared" si="15"/>
        <v>0</v>
      </c>
      <c r="AY28" s="22">
        <f t="shared" si="16"/>
        <v>0</v>
      </c>
      <c r="AZ28" s="22">
        <f t="shared" si="17"/>
        <v>0</v>
      </c>
      <c r="BA28" s="22">
        <f t="shared" si="18"/>
        <v>0</v>
      </c>
      <c r="BB28" s="22">
        <f t="shared" si="19"/>
        <v>0</v>
      </c>
      <c r="BC28" s="22">
        <f t="shared" si="20"/>
        <v>0</v>
      </c>
      <c r="BD28" s="22">
        <f t="shared" si="21"/>
        <v>0</v>
      </c>
      <c r="BE28" s="22">
        <f t="shared" si="22"/>
        <v>0</v>
      </c>
      <c r="BF28" s="22">
        <f t="shared" si="23"/>
        <v>0</v>
      </c>
      <c r="BG28" s="22">
        <f t="shared" si="24"/>
        <v>0</v>
      </c>
      <c r="BH28" s="22">
        <f t="shared" si="25"/>
        <v>0</v>
      </c>
      <c r="BI28" s="22">
        <f t="shared" si="26"/>
        <v>0</v>
      </c>
      <c r="BJ28" s="22">
        <f t="shared" si="27"/>
        <v>0</v>
      </c>
      <c r="BK28" s="22">
        <f t="shared" si="28"/>
        <v>0</v>
      </c>
      <c r="BL28" s="22">
        <f t="shared" si="29"/>
        <v>0</v>
      </c>
      <c r="BM28" s="22" t="str">
        <f t="shared" si="30"/>
        <v>OK</v>
      </c>
    </row>
    <row r="29" spans="1:65">
      <c r="A29" s="29">
        <f>A28</f>
        <v>41087</v>
      </c>
      <c r="B29">
        <f>B28</f>
        <v>0</v>
      </c>
      <c r="C29" t="b">
        <f>VLOOKUP($B29,勤務形態オプション!$A$3:$D$10,C$6,FALSE)</f>
        <v>1</v>
      </c>
      <c r="D29" t="b">
        <f>VLOOKUP($B29,勤務形態オプション!$A$3:$D$10,D$6,FALSE)</f>
        <v>0</v>
      </c>
      <c r="E29" t="b">
        <f>VLOOKUP($B29,勤務形態オプション!$A$3:$D$10,E$6,FALSE)</f>
        <v>0</v>
      </c>
      <c r="F29" s="50">
        <f>F27</f>
        <v>0</v>
      </c>
      <c r="G29" s="50">
        <f>G27</f>
        <v>0</v>
      </c>
      <c r="H29" s="50">
        <f>H27</f>
        <v>0</v>
      </c>
      <c r="I29" s="50">
        <f>I27</f>
        <v>0</v>
      </c>
      <c r="J29" s="58">
        <v>3</v>
      </c>
      <c r="K29" s="50">
        <f>IF(命令簿!D30&lt;&gt;"",命令簿!D30,0)</f>
        <v>0</v>
      </c>
      <c r="L29" s="50">
        <f>IF(命令簿!G30&lt;&gt;"",命令簿!G30,IF(命令簿!F30&lt;&gt;"",命令簿!F30,0))</f>
        <v>0</v>
      </c>
      <c r="M29" s="50">
        <f>IF(命令簿!I30&lt;&gt;"",命令簿!I30,$L29)</f>
        <v>0</v>
      </c>
      <c r="N29" s="50">
        <f>IF(命令簿!I30&lt;&gt;"",命令簿!F30,L29)</f>
        <v>0</v>
      </c>
      <c r="O29" s="50">
        <f t="shared" si="10"/>
        <v>0</v>
      </c>
      <c r="P29" s="355"/>
      <c r="R29" s="31">
        <f t="shared" si="0"/>
        <v>0</v>
      </c>
      <c r="S29" s="31">
        <f t="shared" si="1"/>
        <v>0</v>
      </c>
      <c r="T29" s="31">
        <f t="shared" si="2"/>
        <v>0</v>
      </c>
      <c r="U29" s="31">
        <f t="shared" si="3"/>
        <v>0</v>
      </c>
      <c r="V29" s="31">
        <f t="shared" si="4"/>
        <v>0</v>
      </c>
      <c r="W29" s="31">
        <f t="shared" si="31"/>
        <v>0</v>
      </c>
      <c r="X29" s="31">
        <f t="shared" si="11"/>
        <v>0</v>
      </c>
      <c r="Y29" s="31">
        <f t="shared" ref="Y29:AB48" si="33">CalcOverTime($E29,$X29,$U29,$T29,$S29,$R29,Y$7)</f>
        <v>0</v>
      </c>
      <c r="Z29" s="31">
        <f t="shared" si="33"/>
        <v>0</v>
      </c>
      <c r="AA29" s="31">
        <f t="shared" si="33"/>
        <v>0</v>
      </c>
      <c r="AB29" s="31">
        <f t="shared" si="33"/>
        <v>0</v>
      </c>
      <c r="AC29" s="31">
        <f t="shared" si="6"/>
        <v>0</v>
      </c>
      <c r="AD29" s="31">
        <f t="shared" si="7"/>
        <v>0</v>
      </c>
      <c r="AE29" s="31">
        <f t="shared" si="12"/>
        <v>0</v>
      </c>
      <c r="AF29" s="31">
        <f t="shared" si="13"/>
        <v>0</v>
      </c>
      <c r="AG29" s="31">
        <f t="shared" ref="AG29:AU38" si="34">AllocateWorkTime($C29:$I29,$Y29:$AF29,AG$6)</f>
        <v>0</v>
      </c>
      <c r="AH29" s="31">
        <f t="shared" si="34"/>
        <v>0</v>
      </c>
      <c r="AI29" s="31">
        <f t="shared" si="34"/>
        <v>0</v>
      </c>
      <c r="AJ29" s="31">
        <f t="shared" si="34"/>
        <v>0</v>
      </c>
      <c r="AK29" s="31">
        <f t="shared" si="34"/>
        <v>0</v>
      </c>
      <c r="AL29" s="31">
        <f t="shared" si="34"/>
        <v>0</v>
      </c>
      <c r="AM29" s="31">
        <f t="shared" si="34"/>
        <v>0</v>
      </c>
      <c r="AN29" s="31">
        <f t="shared" si="34"/>
        <v>0</v>
      </c>
      <c r="AO29" s="31">
        <f t="shared" si="34"/>
        <v>0</v>
      </c>
      <c r="AP29" s="31">
        <f t="shared" si="34"/>
        <v>0</v>
      </c>
      <c r="AQ29" s="31">
        <f t="shared" si="34"/>
        <v>0</v>
      </c>
      <c r="AR29" s="31">
        <f t="shared" si="34"/>
        <v>0</v>
      </c>
      <c r="AS29" s="31">
        <f t="shared" si="34"/>
        <v>0</v>
      </c>
      <c r="AT29" s="31">
        <f t="shared" si="34"/>
        <v>0</v>
      </c>
      <c r="AU29" s="31">
        <f t="shared" si="34"/>
        <v>0</v>
      </c>
      <c r="AW29" s="22">
        <f t="shared" si="14"/>
        <v>0</v>
      </c>
      <c r="AX29" s="22">
        <f t="shared" si="15"/>
        <v>0</v>
      </c>
      <c r="AY29" s="22">
        <f t="shared" si="16"/>
        <v>0</v>
      </c>
      <c r="AZ29" s="22">
        <f t="shared" si="17"/>
        <v>0</v>
      </c>
      <c r="BA29" s="22">
        <f t="shared" si="18"/>
        <v>0</v>
      </c>
      <c r="BB29" s="22">
        <f t="shared" si="19"/>
        <v>0</v>
      </c>
      <c r="BC29" s="22">
        <f t="shared" si="20"/>
        <v>0</v>
      </c>
      <c r="BD29" s="22">
        <f t="shared" si="21"/>
        <v>0</v>
      </c>
      <c r="BE29" s="22">
        <f t="shared" si="22"/>
        <v>0</v>
      </c>
      <c r="BF29" s="22">
        <f t="shared" si="23"/>
        <v>0</v>
      </c>
      <c r="BG29" s="22">
        <f t="shared" si="24"/>
        <v>0</v>
      </c>
      <c r="BH29" s="22">
        <f t="shared" si="25"/>
        <v>0</v>
      </c>
      <c r="BI29" s="22">
        <f t="shared" si="26"/>
        <v>0</v>
      </c>
      <c r="BJ29" s="22">
        <f t="shared" si="27"/>
        <v>0</v>
      </c>
      <c r="BK29" s="22">
        <f t="shared" si="28"/>
        <v>0</v>
      </c>
      <c r="BL29" s="22">
        <f t="shared" si="29"/>
        <v>0</v>
      </c>
      <c r="BM29" s="22" t="str">
        <f t="shared" si="30"/>
        <v>OK</v>
      </c>
    </row>
    <row r="30" spans="1:65">
      <c r="A30" s="29">
        <f>補助簿!B30</f>
        <v>41088</v>
      </c>
      <c r="B30" s="150">
        <f>命令簿!C33</f>
        <v>0</v>
      </c>
      <c r="C30" t="b">
        <f>VLOOKUP($B30,勤務形態オプション!$A$3:$D$10,C$6,FALSE)</f>
        <v>1</v>
      </c>
      <c r="D30" t="b">
        <f>VLOOKUP($B30,勤務形態オプション!$A$3:$D$10,D$6,FALSE)</f>
        <v>0</v>
      </c>
      <c r="E30" t="b">
        <f>VLOOKUP($B30,勤務形態オプション!$A$3:$D$10,E$6,FALSE)</f>
        <v>0</v>
      </c>
      <c r="F30" s="50">
        <f>補助簿!$E30</f>
        <v>0</v>
      </c>
      <c r="G30" s="50">
        <f>補助簿!$F30</f>
        <v>0</v>
      </c>
      <c r="H30" s="50">
        <f>補助簿!$C30</f>
        <v>0</v>
      </c>
      <c r="I30" s="50">
        <f>補助簿!$D30</f>
        <v>0</v>
      </c>
      <c r="J30" s="58">
        <v>1</v>
      </c>
      <c r="K30" s="50">
        <f>IF(命令簿!D31&lt;&gt;"",命令簿!D31,0)</f>
        <v>0</v>
      </c>
      <c r="L30" s="50">
        <f>IF(命令簿!G31&lt;&gt;"",命令簿!G31,IF(命令簿!F31&lt;&gt;"",命令簿!F31,0))</f>
        <v>0</v>
      </c>
      <c r="M30" s="50">
        <f>IF(命令簿!I31&lt;&gt;"",命令簿!I31,$L30)</f>
        <v>0</v>
      </c>
      <c r="N30" s="50">
        <f>IF(命令簿!I31&lt;&gt;"",命令簿!F31,L30)</f>
        <v>0</v>
      </c>
      <c r="O30" s="50">
        <f t="shared" si="10"/>
        <v>0</v>
      </c>
      <c r="P30" s="355">
        <f>SUM(O30:O32)</f>
        <v>0</v>
      </c>
      <c r="R30" s="31">
        <f t="shared" si="0"/>
        <v>0</v>
      </c>
      <c r="S30" s="31">
        <f t="shared" si="1"/>
        <v>0</v>
      </c>
      <c r="T30" s="31">
        <f t="shared" si="2"/>
        <v>0</v>
      </c>
      <c r="U30" s="31">
        <f t="shared" si="3"/>
        <v>0</v>
      </c>
      <c r="V30" s="31">
        <f t="shared" si="4"/>
        <v>0</v>
      </c>
      <c r="W30" s="31">
        <f t="shared" si="31"/>
        <v>0</v>
      </c>
      <c r="X30" s="31">
        <f t="shared" si="11"/>
        <v>0</v>
      </c>
      <c r="Y30" s="31">
        <f t="shared" si="33"/>
        <v>0</v>
      </c>
      <c r="Z30" s="31">
        <f t="shared" si="33"/>
        <v>0</v>
      </c>
      <c r="AA30" s="31">
        <f t="shared" si="33"/>
        <v>0</v>
      </c>
      <c r="AB30" s="31">
        <f t="shared" si="33"/>
        <v>0</v>
      </c>
      <c r="AC30" s="31">
        <f t="shared" si="6"/>
        <v>0</v>
      </c>
      <c r="AD30" s="31">
        <f t="shared" si="7"/>
        <v>0</v>
      </c>
      <c r="AE30" s="31">
        <f t="shared" si="12"/>
        <v>0</v>
      </c>
      <c r="AF30" s="31">
        <f t="shared" si="13"/>
        <v>0</v>
      </c>
      <c r="AG30" s="31">
        <f t="shared" si="34"/>
        <v>0</v>
      </c>
      <c r="AH30" s="31">
        <f t="shared" si="34"/>
        <v>0</v>
      </c>
      <c r="AI30" s="31">
        <f t="shared" si="34"/>
        <v>0</v>
      </c>
      <c r="AJ30" s="31">
        <f t="shared" si="34"/>
        <v>0</v>
      </c>
      <c r="AK30" s="31">
        <f t="shared" si="34"/>
        <v>0</v>
      </c>
      <c r="AL30" s="31">
        <f t="shared" si="34"/>
        <v>0</v>
      </c>
      <c r="AM30" s="31">
        <f t="shared" si="34"/>
        <v>0</v>
      </c>
      <c r="AN30" s="31">
        <f t="shared" si="34"/>
        <v>0</v>
      </c>
      <c r="AO30" s="31">
        <f t="shared" si="34"/>
        <v>0</v>
      </c>
      <c r="AP30" s="31">
        <f t="shared" si="34"/>
        <v>0</v>
      </c>
      <c r="AQ30" s="31">
        <f t="shared" si="34"/>
        <v>0</v>
      </c>
      <c r="AR30" s="31">
        <f t="shared" si="34"/>
        <v>0</v>
      </c>
      <c r="AS30" s="31">
        <f t="shared" si="34"/>
        <v>0</v>
      </c>
      <c r="AT30" s="31">
        <f t="shared" si="34"/>
        <v>0</v>
      </c>
      <c r="AU30" s="31">
        <f t="shared" si="34"/>
        <v>0</v>
      </c>
      <c r="AW30" s="22">
        <f t="shared" si="14"/>
        <v>0</v>
      </c>
      <c r="AX30" s="22">
        <f t="shared" si="15"/>
        <v>0</v>
      </c>
      <c r="AY30" s="22">
        <f t="shared" si="16"/>
        <v>0</v>
      </c>
      <c r="AZ30" s="22">
        <f t="shared" si="17"/>
        <v>0</v>
      </c>
      <c r="BA30" s="22">
        <f t="shared" si="18"/>
        <v>0</v>
      </c>
      <c r="BB30" s="22">
        <f t="shared" si="19"/>
        <v>0</v>
      </c>
      <c r="BC30" s="22">
        <f t="shared" si="20"/>
        <v>0</v>
      </c>
      <c r="BD30" s="22">
        <f t="shared" si="21"/>
        <v>0</v>
      </c>
      <c r="BE30" s="22">
        <f t="shared" si="22"/>
        <v>0</v>
      </c>
      <c r="BF30" s="22">
        <f t="shared" si="23"/>
        <v>0</v>
      </c>
      <c r="BG30" s="22">
        <f t="shared" si="24"/>
        <v>0</v>
      </c>
      <c r="BH30" s="22">
        <f t="shared" si="25"/>
        <v>0</v>
      </c>
      <c r="BI30" s="22">
        <f t="shared" si="26"/>
        <v>0</v>
      </c>
      <c r="BJ30" s="22">
        <f t="shared" si="27"/>
        <v>0</v>
      </c>
      <c r="BK30" s="22">
        <f t="shared" si="28"/>
        <v>0</v>
      </c>
      <c r="BL30" s="22">
        <f t="shared" si="29"/>
        <v>0</v>
      </c>
      <c r="BM30" s="22" t="str">
        <f t="shared" si="30"/>
        <v>OK</v>
      </c>
    </row>
    <row r="31" spans="1:65">
      <c r="A31" s="29">
        <f>A30</f>
        <v>41088</v>
      </c>
      <c r="B31">
        <f>B30</f>
        <v>0</v>
      </c>
      <c r="C31" t="b">
        <f>VLOOKUP($B31,勤務形態オプション!$A$3:$D$10,C$6,FALSE)</f>
        <v>1</v>
      </c>
      <c r="D31" t="b">
        <f>VLOOKUP($B31,勤務形態オプション!$A$3:$D$10,D$6,FALSE)</f>
        <v>0</v>
      </c>
      <c r="E31" t="b">
        <f>VLOOKUP($B31,勤務形態オプション!$A$3:$D$10,E$6,FALSE)</f>
        <v>0</v>
      </c>
      <c r="F31" s="50">
        <f>F30</f>
        <v>0</v>
      </c>
      <c r="G31" s="50">
        <f>G30</f>
        <v>0</v>
      </c>
      <c r="H31" s="50">
        <f>H30</f>
        <v>0</v>
      </c>
      <c r="I31" s="50">
        <f>I30</f>
        <v>0</v>
      </c>
      <c r="J31" s="58">
        <v>2</v>
      </c>
      <c r="K31" s="50">
        <f>IF(命令簿!D32&lt;&gt;"",命令簿!D32,0)</f>
        <v>0</v>
      </c>
      <c r="L31" s="50">
        <f>IF(命令簿!G32&lt;&gt;"",命令簿!G32,IF(命令簿!F32&lt;&gt;"",命令簿!F32,0))</f>
        <v>0</v>
      </c>
      <c r="M31" s="50">
        <f>IF(命令簿!I32&lt;&gt;"",命令簿!I32,$L31)</f>
        <v>0</v>
      </c>
      <c r="N31" s="50">
        <f>IF(命令簿!I32&lt;&gt;"",命令簿!F32,L31)</f>
        <v>0</v>
      </c>
      <c r="O31" s="50">
        <f t="shared" si="10"/>
        <v>0</v>
      </c>
      <c r="P31" s="355"/>
      <c r="R31" s="31">
        <f t="shared" si="0"/>
        <v>0</v>
      </c>
      <c r="S31" s="31">
        <f t="shared" si="1"/>
        <v>0</v>
      </c>
      <c r="T31" s="31">
        <f t="shared" si="2"/>
        <v>0</v>
      </c>
      <c r="U31" s="31">
        <f t="shared" si="3"/>
        <v>0</v>
      </c>
      <c r="V31" s="31">
        <f t="shared" si="4"/>
        <v>0</v>
      </c>
      <c r="W31" s="31">
        <f t="shared" si="31"/>
        <v>0</v>
      </c>
      <c r="X31" s="31">
        <f t="shared" si="11"/>
        <v>0</v>
      </c>
      <c r="Y31" s="31">
        <f t="shared" si="33"/>
        <v>0</v>
      </c>
      <c r="Z31" s="31">
        <f t="shared" si="33"/>
        <v>0</v>
      </c>
      <c r="AA31" s="31">
        <f t="shared" si="33"/>
        <v>0</v>
      </c>
      <c r="AB31" s="31">
        <f t="shared" si="33"/>
        <v>0</v>
      </c>
      <c r="AC31" s="31">
        <f t="shared" si="6"/>
        <v>0</v>
      </c>
      <c r="AD31" s="31">
        <f t="shared" si="7"/>
        <v>0</v>
      </c>
      <c r="AE31" s="31">
        <f t="shared" si="12"/>
        <v>0</v>
      </c>
      <c r="AF31" s="31">
        <f t="shared" si="13"/>
        <v>0</v>
      </c>
      <c r="AG31" s="31">
        <f t="shared" si="34"/>
        <v>0</v>
      </c>
      <c r="AH31" s="31">
        <f t="shared" si="34"/>
        <v>0</v>
      </c>
      <c r="AI31" s="31">
        <f t="shared" si="34"/>
        <v>0</v>
      </c>
      <c r="AJ31" s="31">
        <f t="shared" si="34"/>
        <v>0</v>
      </c>
      <c r="AK31" s="31">
        <f t="shared" si="34"/>
        <v>0</v>
      </c>
      <c r="AL31" s="31">
        <f t="shared" si="34"/>
        <v>0</v>
      </c>
      <c r="AM31" s="31">
        <f t="shared" si="34"/>
        <v>0</v>
      </c>
      <c r="AN31" s="31">
        <f t="shared" si="34"/>
        <v>0</v>
      </c>
      <c r="AO31" s="31">
        <f t="shared" si="34"/>
        <v>0</v>
      </c>
      <c r="AP31" s="31">
        <f t="shared" si="34"/>
        <v>0</v>
      </c>
      <c r="AQ31" s="31">
        <f t="shared" si="34"/>
        <v>0</v>
      </c>
      <c r="AR31" s="31">
        <f t="shared" si="34"/>
        <v>0</v>
      </c>
      <c r="AS31" s="31">
        <f t="shared" si="34"/>
        <v>0</v>
      </c>
      <c r="AT31" s="31">
        <f t="shared" si="34"/>
        <v>0</v>
      </c>
      <c r="AU31" s="31">
        <f t="shared" si="34"/>
        <v>0</v>
      </c>
      <c r="AW31" s="22">
        <f t="shared" si="14"/>
        <v>0</v>
      </c>
      <c r="AX31" s="22">
        <f t="shared" si="15"/>
        <v>0</v>
      </c>
      <c r="AY31" s="22">
        <f t="shared" si="16"/>
        <v>0</v>
      </c>
      <c r="AZ31" s="22">
        <f t="shared" si="17"/>
        <v>0</v>
      </c>
      <c r="BA31" s="22">
        <f t="shared" si="18"/>
        <v>0</v>
      </c>
      <c r="BB31" s="22">
        <f t="shared" si="19"/>
        <v>0</v>
      </c>
      <c r="BC31" s="22">
        <f t="shared" si="20"/>
        <v>0</v>
      </c>
      <c r="BD31" s="22">
        <f t="shared" si="21"/>
        <v>0</v>
      </c>
      <c r="BE31" s="22">
        <f t="shared" si="22"/>
        <v>0</v>
      </c>
      <c r="BF31" s="22">
        <f t="shared" si="23"/>
        <v>0</v>
      </c>
      <c r="BG31" s="22">
        <f t="shared" si="24"/>
        <v>0</v>
      </c>
      <c r="BH31" s="22">
        <f t="shared" si="25"/>
        <v>0</v>
      </c>
      <c r="BI31" s="22">
        <f t="shared" si="26"/>
        <v>0</v>
      </c>
      <c r="BJ31" s="22">
        <f t="shared" si="27"/>
        <v>0</v>
      </c>
      <c r="BK31" s="22">
        <f t="shared" si="28"/>
        <v>0</v>
      </c>
      <c r="BL31" s="22">
        <f t="shared" si="29"/>
        <v>0</v>
      </c>
      <c r="BM31" s="22" t="str">
        <f t="shared" si="30"/>
        <v>OK</v>
      </c>
    </row>
    <row r="32" spans="1:65">
      <c r="A32" s="29">
        <f>A31</f>
        <v>41088</v>
      </c>
      <c r="B32">
        <f>B31</f>
        <v>0</v>
      </c>
      <c r="C32" t="b">
        <f>VLOOKUP($B32,勤務形態オプション!$A$3:$D$10,C$6,FALSE)</f>
        <v>1</v>
      </c>
      <c r="D32" t="b">
        <f>VLOOKUP($B32,勤務形態オプション!$A$3:$D$10,D$6,FALSE)</f>
        <v>0</v>
      </c>
      <c r="E32" t="b">
        <f>VLOOKUP($B32,勤務形態オプション!$A$3:$D$10,E$6,FALSE)</f>
        <v>0</v>
      </c>
      <c r="F32" s="50">
        <f>F30</f>
        <v>0</v>
      </c>
      <c r="G32" s="50">
        <f>G30</f>
        <v>0</v>
      </c>
      <c r="H32" s="50">
        <f>H30</f>
        <v>0</v>
      </c>
      <c r="I32" s="50">
        <f>I30</f>
        <v>0</v>
      </c>
      <c r="J32" s="58">
        <v>3</v>
      </c>
      <c r="K32" s="50">
        <f>IF(命令簿!D33&lt;&gt;"",命令簿!D33,0)</f>
        <v>0</v>
      </c>
      <c r="L32" s="50">
        <f>IF(命令簿!G33&lt;&gt;"",命令簿!G33,IF(命令簿!F33&lt;&gt;"",命令簿!F33,0))</f>
        <v>0</v>
      </c>
      <c r="M32" s="50">
        <f>IF(命令簿!I33&lt;&gt;"",命令簿!I33,$L32)</f>
        <v>0</v>
      </c>
      <c r="N32" s="50">
        <f>IF(命令簿!I33&lt;&gt;"",命令簿!F33,L32)</f>
        <v>0</v>
      </c>
      <c r="O32" s="50">
        <f t="shared" si="10"/>
        <v>0</v>
      </c>
      <c r="P32" s="355"/>
      <c r="R32" s="31">
        <f t="shared" si="0"/>
        <v>0</v>
      </c>
      <c r="S32" s="31">
        <f t="shared" si="1"/>
        <v>0</v>
      </c>
      <c r="T32" s="31">
        <f t="shared" si="2"/>
        <v>0</v>
      </c>
      <c r="U32" s="31">
        <f t="shared" si="3"/>
        <v>0</v>
      </c>
      <c r="V32" s="31">
        <f t="shared" si="4"/>
        <v>0</v>
      </c>
      <c r="W32" s="31">
        <f t="shared" si="31"/>
        <v>0</v>
      </c>
      <c r="X32" s="31">
        <f t="shared" si="11"/>
        <v>0</v>
      </c>
      <c r="Y32" s="31">
        <f t="shared" si="33"/>
        <v>0</v>
      </c>
      <c r="Z32" s="31">
        <f t="shared" si="33"/>
        <v>0</v>
      </c>
      <c r="AA32" s="31">
        <f t="shared" si="33"/>
        <v>0</v>
      </c>
      <c r="AB32" s="31">
        <f t="shared" si="33"/>
        <v>0</v>
      </c>
      <c r="AC32" s="31">
        <f t="shared" si="6"/>
        <v>0</v>
      </c>
      <c r="AD32" s="31">
        <f t="shared" si="7"/>
        <v>0</v>
      </c>
      <c r="AE32" s="31">
        <f t="shared" si="12"/>
        <v>0</v>
      </c>
      <c r="AF32" s="31">
        <f t="shared" si="13"/>
        <v>0</v>
      </c>
      <c r="AG32" s="31">
        <f t="shared" si="34"/>
        <v>0</v>
      </c>
      <c r="AH32" s="31">
        <f t="shared" si="34"/>
        <v>0</v>
      </c>
      <c r="AI32" s="31">
        <f t="shared" si="34"/>
        <v>0</v>
      </c>
      <c r="AJ32" s="31">
        <f t="shared" si="34"/>
        <v>0</v>
      </c>
      <c r="AK32" s="31">
        <f t="shared" si="34"/>
        <v>0</v>
      </c>
      <c r="AL32" s="31">
        <f t="shared" si="34"/>
        <v>0</v>
      </c>
      <c r="AM32" s="31">
        <f t="shared" si="34"/>
        <v>0</v>
      </c>
      <c r="AN32" s="31">
        <f t="shared" si="34"/>
        <v>0</v>
      </c>
      <c r="AO32" s="31">
        <f t="shared" si="34"/>
        <v>0</v>
      </c>
      <c r="AP32" s="31">
        <f t="shared" si="34"/>
        <v>0</v>
      </c>
      <c r="AQ32" s="31">
        <f t="shared" si="34"/>
        <v>0</v>
      </c>
      <c r="AR32" s="31">
        <f t="shared" si="34"/>
        <v>0</v>
      </c>
      <c r="AS32" s="31">
        <f t="shared" si="34"/>
        <v>0</v>
      </c>
      <c r="AT32" s="31">
        <f t="shared" si="34"/>
        <v>0</v>
      </c>
      <c r="AU32" s="31">
        <f t="shared" si="34"/>
        <v>0</v>
      </c>
      <c r="AW32" s="22">
        <f t="shared" si="14"/>
        <v>0</v>
      </c>
      <c r="AX32" s="22">
        <f t="shared" si="15"/>
        <v>0</v>
      </c>
      <c r="AY32" s="22">
        <f t="shared" si="16"/>
        <v>0</v>
      </c>
      <c r="AZ32" s="22">
        <f t="shared" si="17"/>
        <v>0</v>
      </c>
      <c r="BA32" s="22">
        <f t="shared" si="18"/>
        <v>0</v>
      </c>
      <c r="BB32" s="22">
        <f t="shared" si="19"/>
        <v>0</v>
      </c>
      <c r="BC32" s="22">
        <f t="shared" si="20"/>
        <v>0</v>
      </c>
      <c r="BD32" s="22">
        <f t="shared" si="21"/>
        <v>0</v>
      </c>
      <c r="BE32" s="22">
        <f t="shared" si="22"/>
        <v>0</v>
      </c>
      <c r="BF32" s="22">
        <f t="shared" si="23"/>
        <v>0</v>
      </c>
      <c r="BG32" s="22">
        <f t="shared" si="24"/>
        <v>0</v>
      </c>
      <c r="BH32" s="22">
        <f t="shared" si="25"/>
        <v>0</v>
      </c>
      <c r="BI32" s="22">
        <f t="shared" si="26"/>
        <v>0</v>
      </c>
      <c r="BJ32" s="22">
        <f t="shared" si="27"/>
        <v>0</v>
      </c>
      <c r="BK32" s="22">
        <f t="shared" si="28"/>
        <v>0</v>
      </c>
      <c r="BL32" s="22">
        <f t="shared" si="29"/>
        <v>0</v>
      </c>
      <c r="BM32" s="22" t="str">
        <f t="shared" si="30"/>
        <v>OK</v>
      </c>
    </row>
    <row r="33" spans="1:65">
      <c r="A33" s="29">
        <f>補助簿!B33</f>
        <v>41089</v>
      </c>
      <c r="B33" s="151">
        <f>命令簿!C36</f>
        <v>0</v>
      </c>
      <c r="C33" t="b">
        <f>VLOOKUP($B33,勤務形態オプション!$A$3:$D$10,C$6,FALSE)</f>
        <v>1</v>
      </c>
      <c r="D33" t="b">
        <f>VLOOKUP($B33,勤務形態オプション!$A$3:$D$10,D$6,FALSE)</f>
        <v>0</v>
      </c>
      <c r="E33" t="b">
        <f>VLOOKUP($B33,勤務形態オプション!$A$3:$D$10,E$6,FALSE)</f>
        <v>0</v>
      </c>
      <c r="F33" s="50">
        <f>補助簿!$E33</f>
        <v>0</v>
      </c>
      <c r="G33" s="50">
        <f>補助簿!$F33</f>
        <v>0</v>
      </c>
      <c r="H33" s="50">
        <f>補助簿!$C33</f>
        <v>0</v>
      </c>
      <c r="I33" s="50">
        <f>補助簿!$D33</f>
        <v>0</v>
      </c>
      <c r="J33" s="58">
        <v>1</v>
      </c>
      <c r="K33" s="50">
        <f>IF(命令簿!D34&lt;&gt;"",命令簿!D34,0)</f>
        <v>0</v>
      </c>
      <c r="L33" s="50">
        <f>IF(命令簿!G34&lt;&gt;"",命令簿!G34,IF(命令簿!F34&lt;&gt;"",命令簿!F34,0))</f>
        <v>0</v>
      </c>
      <c r="M33" s="50">
        <f>IF(命令簿!I34&lt;&gt;"",命令簿!I34,$L33)</f>
        <v>0</v>
      </c>
      <c r="N33" s="50">
        <f>IF(命令簿!I34&lt;&gt;"",命令簿!F34,L33)</f>
        <v>0</v>
      </c>
      <c r="O33" s="50">
        <f t="shared" si="10"/>
        <v>0</v>
      </c>
      <c r="P33" s="355">
        <f>SUM(O33:O35)</f>
        <v>0</v>
      </c>
      <c r="R33" s="31">
        <f t="shared" si="0"/>
        <v>0</v>
      </c>
      <c r="S33" s="31">
        <f t="shared" si="1"/>
        <v>0</v>
      </c>
      <c r="T33" s="31">
        <f t="shared" si="2"/>
        <v>0</v>
      </c>
      <c r="U33" s="31">
        <f t="shared" si="3"/>
        <v>0</v>
      </c>
      <c r="V33" s="31">
        <f t="shared" si="4"/>
        <v>0</v>
      </c>
      <c r="W33" s="31">
        <f t="shared" si="31"/>
        <v>0</v>
      </c>
      <c r="X33" s="31">
        <f t="shared" si="11"/>
        <v>0</v>
      </c>
      <c r="Y33" s="31">
        <f t="shared" si="33"/>
        <v>0</v>
      </c>
      <c r="Z33" s="31">
        <f t="shared" si="33"/>
        <v>0</v>
      </c>
      <c r="AA33" s="31">
        <f t="shared" si="33"/>
        <v>0</v>
      </c>
      <c r="AB33" s="31">
        <f t="shared" si="33"/>
        <v>0</v>
      </c>
      <c r="AC33" s="31">
        <f t="shared" ref="AC33:AC56" si="35">R33-Y33</f>
        <v>0</v>
      </c>
      <c r="AD33" s="31">
        <f t="shared" si="7"/>
        <v>0</v>
      </c>
      <c r="AE33" s="31">
        <f t="shared" si="12"/>
        <v>0</v>
      </c>
      <c r="AF33" s="31">
        <f t="shared" si="13"/>
        <v>0</v>
      </c>
      <c r="AG33" s="31">
        <f t="shared" si="34"/>
        <v>0</v>
      </c>
      <c r="AH33" s="31">
        <f t="shared" si="34"/>
        <v>0</v>
      </c>
      <c r="AI33" s="31">
        <f t="shared" si="34"/>
        <v>0</v>
      </c>
      <c r="AJ33" s="31">
        <f t="shared" si="34"/>
        <v>0</v>
      </c>
      <c r="AK33" s="31">
        <f t="shared" si="34"/>
        <v>0</v>
      </c>
      <c r="AL33" s="31">
        <f t="shared" si="34"/>
        <v>0</v>
      </c>
      <c r="AM33" s="31">
        <f t="shared" si="34"/>
        <v>0</v>
      </c>
      <c r="AN33" s="31">
        <f t="shared" si="34"/>
        <v>0</v>
      </c>
      <c r="AO33" s="31">
        <f t="shared" si="34"/>
        <v>0</v>
      </c>
      <c r="AP33" s="31">
        <f t="shared" si="34"/>
        <v>0</v>
      </c>
      <c r="AQ33" s="31">
        <f t="shared" si="34"/>
        <v>0</v>
      </c>
      <c r="AR33" s="31">
        <f t="shared" si="34"/>
        <v>0</v>
      </c>
      <c r="AS33" s="31">
        <f t="shared" si="34"/>
        <v>0</v>
      </c>
      <c r="AT33" s="31">
        <f t="shared" si="34"/>
        <v>0</v>
      </c>
      <c r="AU33" s="31">
        <f t="shared" si="34"/>
        <v>0</v>
      </c>
      <c r="AW33" s="22">
        <f t="shared" si="14"/>
        <v>0</v>
      </c>
      <c r="AX33" s="22">
        <f t="shared" si="15"/>
        <v>0</v>
      </c>
      <c r="AY33" s="22">
        <f t="shared" si="16"/>
        <v>0</v>
      </c>
      <c r="AZ33" s="22">
        <f t="shared" si="17"/>
        <v>0</v>
      </c>
      <c r="BA33" s="22">
        <f t="shared" si="18"/>
        <v>0</v>
      </c>
      <c r="BB33" s="22">
        <f t="shared" si="19"/>
        <v>0</v>
      </c>
      <c r="BC33" s="22">
        <f t="shared" si="20"/>
        <v>0</v>
      </c>
      <c r="BD33" s="22">
        <f t="shared" si="21"/>
        <v>0</v>
      </c>
      <c r="BE33" s="22">
        <f t="shared" si="22"/>
        <v>0</v>
      </c>
      <c r="BF33" s="22">
        <f t="shared" si="23"/>
        <v>0</v>
      </c>
      <c r="BG33" s="22">
        <f t="shared" si="24"/>
        <v>0</v>
      </c>
      <c r="BH33" s="22">
        <f t="shared" si="25"/>
        <v>0</v>
      </c>
      <c r="BI33" s="22">
        <f t="shared" si="26"/>
        <v>0</v>
      </c>
      <c r="BJ33" s="22">
        <f t="shared" si="27"/>
        <v>0</v>
      </c>
      <c r="BK33" s="22">
        <f t="shared" si="28"/>
        <v>0</v>
      </c>
      <c r="BL33" s="22">
        <f t="shared" si="29"/>
        <v>0</v>
      </c>
      <c r="BM33" s="22" t="str">
        <f t="shared" si="30"/>
        <v>OK</v>
      </c>
    </row>
    <row r="34" spans="1:65">
      <c r="A34" s="29">
        <f>A33</f>
        <v>41089</v>
      </c>
      <c r="B34">
        <f>B33</f>
        <v>0</v>
      </c>
      <c r="C34" t="b">
        <f>VLOOKUP($B34,勤務形態オプション!$A$3:$D$10,C$6,FALSE)</f>
        <v>1</v>
      </c>
      <c r="D34" t="b">
        <f>VLOOKUP($B34,勤務形態オプション!$A$3:$D$10,D$6,FALSE)</f>
        <v>0</v>
      </c>
      <c r="E34" t="b">
        <f>VLOOKUP($B34,勤務形態オプション!$A$3:$D$10,E$6,FALSE)</f>
        <v>0</v>
      </c>
      <c r="F34" s="50">
        <f>F33</f>
        <v>0</v>
      </c>
      <c r="G34" s="50">
        <f>G33</f>
        <v>0</v>
      </c>
      <c r="H34" s="50">
        <f>H33</f>
        <v>0</v>
      </c>
      <c r="I34" s="50">
        <f>I33</f>
        <v>0</v>
      </c>
      <c r="J34" s="58">
        <v>2</v>
      </c>
      <c r="K34" s="50">
        <f>IF(命令簿!D35&lt;&gt;"",命令簿!D35,0)</f>
        <v>0</v>
      </c>
      <c r="L34" s="50">
        <f>IF(命令簿!G35&lt;&gt;"",命令簿!G35,IF(命令簿!F35&lt;&gt;"",命令簿!F35,0))</f>
        <v>0</v>
      </c>
      <c r="M34" s="50">
        <f>IF(命令簿!I35&lt;&gt;"",命令簿!I35,$L34)</f>
        <v>0</v>
      </c>
      <c r="N34" s="50">
        <f>IF(命令簿!I35&lt;&gt;"",命令簿!F35,L34)</f>
        <v>0</v>
      </c>
      <c r="O34" s="50">
        <f t="shared" si="10"/>
        <v>0</v>
      </c>
      <c r="P34" s="355"/>
      <c r="R34" s="31">
        <f t="shared" si="0"/>
        <v>0</v>
      </c>
      <c r="S34" s="31">
        <f t="shared" si="1"/>
        <v>0</v>
      </c>
      <c r="T34" s="31">
        <f t="shared" si="2"/>
        <v>0</v>
      </c>
      <c r="U34" s="31">
        <f t="shared" si="3"/>
        <v>0</v>
      </c>
      <c r="V34" s="31">
        <f t="shared" si="4"/>
        <v>0</v>
      </c>
      <c r="W34" s="31">
        <f t="shared" si="31"/>
        <v>0</v>
      </c>
      <c r="X34" s="31">
        <f t="shared" si="11"/>
        <v>0</v>
      </c>
      <c r="Y34" s="31">
        <f t="shared" si="33"/>
        <v>0</v>
      </c>
      <c r="Z34" s="31">
        <f t="shared" si="33"/>
        <v>0</v>
      </c>
      <c r="AA34" s="31">
        <f t="shared" si="33"/>
        <v>0</v>
      </c>
      <c r="AB34" s="31">
        <f t="shared" si="33"/>
        <v>0</v>
      </c>
      <c r="AC34" s="31">
        <f t="shared" si="35"/>
        <v>0</v>
      </c>
      <c r="AD34" s="31">
        <f t="shared" si="7"/>
        <v>0</v>
      </c>
      <c r="AE34" s="31">
        <f t="shared" si="12"/>
        <v>0</v>
      </c>
      <c r="AF34" s="31">
        <f t="shared" ref="AF34:AF57" si="36">U34-AB34</f>
        <v>0</v>
      </c>
      <c r="AG34" s="31">
        <f t="shared" si="34"/>
        <v>0</v>
      </c>
      <c r="AH34" s="31">
        <f t="shared" si="34"/>
        <v>0</v>
      </c>
      <c r="AI34" s="31">
        <f t="shared" si="34"/>
        <v>0</v>
      </c>
      <c r="AJ34" s="31">
        <f t="shared" si="34"/>
        <v>0</v>
      </c>
      <c r="AK34" s="31">
        <f t="shared" si="34"/>
        <v>0</v>
      </c>
      <c r="AL34" s="31">
        <f t="shared" si="34"/>
        <v>0</v>
      </c>
      <c r="AM34" s="31">
        <f t="shared" si="34"/>
        <v>0</v>
      </c>
      <c r="AN34" s="31">
        <f t="shared" si="34"/>
        <v>0</v>
      </c>
      <c r="AO34" s="31">
        <f t="shared" si="34"/>
        <v>0</v>
      </c>
      <c r="AP34" s="31">
        <f t="shared" si="34"/>
        <v>0</v>
      </c>
      <c r="AQ34" s="31">
        <f t="shared" si="34"/>
        <v>0</v>
      </c>
      <c r="AR34" s="31">
        <f t="shared" si="34"/>
        <v>0</v>
      </c>
      <c r="AS34" s="31">
        <f t="shared" si="34"/>
        <v>0</v>
      </c>
      <c r="AT34" s="31">
        <f t="shared" si="34"/>
        <v>0</v>
      </c>
      <c r="AU34" s="31">
        <f t="shared" si="34"/>
        <v>0</v>
      </c>
      <c r="AW34" s="22">
        <f t="shared" si="14"/>
        <v>0</v>
      </c>
      <c r="AX34" s="22">
        <f t="shared" si="15"/>
        <v>0</v>
      </c>
      <c r="AY34" s="22">
        <f t="shared" si="16"/>
        <v>0</v>
      </c>
      <c r="AZ34" s="22">
        <f t="shared" si="17"/>
        <v>0</v>
      </c>
      <c r="BA34" s="22">
        <f t="shared" si="18"/>
        <v>0</v>
      </c>
      <c r="BB34" s="22">
        <f t="shared" si="19"/>
        <v>0</v>
      </c>
      <c r="BC34" s="22">
        <f t="shared" si="20"/>
        <v>0</v>
      </c>
      <c r="BD34" s="22">
        <f t="shared" si="21"/>
        <v>0</v>
      </c>
      <c r="BE34" s="22">
        <f t="shared" si="22"/>
        <v>0</v>
      </c>
      <c r="BF34" s="22">
        <f t="shared" si="23"/>
        <v>0</v>
      </c>
      <c r="BG34" s="22">
        <f t="shared" si="24"/>
        <v>0</v>
      </c>
      <c r="BH34" s="22">
        <f t="shared" si="25"/>
        <v>0</v>
      </c>
      <c r="BI34" s="22">
        <f t="shared" si="26"/>
        <v>0</v>
      </c>
      <c r="BJ34" s="22">
        <f t="shared" si="27"/>
        <v>0</v>
      </c>
      <c r="BK34" s="22">
        <f t="shared" si="28"/>
        <v>0</v>
      </c>
      <c r="BL34" s="22">
        <f t="shared" si="29"/>
        <v>0</v>
      </c>
      <c r="BM34" s="22" t="str">
        <f t="shared" si="30"/>
        <v>OK</v>
      </c>
    </row>
    <row r="35" spans="1:65">
      <c r="A35" s="29">
        <f>A34</f>
        <v>41089</v>
      </c>
      <c r="B35">
        <f>B34</f>
        <v>0</v>
      </c>
      <c r="C35" t="b">
        <f>VLOOKUP($B35,勤務形態オプション!$A$3:$D$10,C$6,FALSE)</f>
        <v>1</v>
      </c>
      <c r="D35" t="b">
        <f>VLOOKUP($B35,勤務形態オプション!$A$3:$D$10,D$6,FALSE)</f>
        <v>0</v>
      </c>
      <c r="E35" t="b">
        <f>VLOOKUP($B35,勤務形態オプション!$A$3:$D$10,E$6,FALSE)</f>
        <v>0</v>
      </c>
      <c r="F35" s="50">
        <f>F33</f>
        <v>0</v>
      </c>
      <c r="G35" s="50">
        <f>G33</f>
        <v>0</v>
      </c>
      <c r="H35" s="50">
        <f>H33</f>
        <v>0</v>
      </c>
      <c r="I35" s="50">
        <f>I33</f>
        <v>0</v>
      </c>
      <c r="J35" s="58">
        <v>3</v>
      </c>
      <c r="K35" s="50">
        <f>IF(命令簿!D36&lt;&gt;"",命令簿!D36,0)</f>
        <v>0</v>
      </c>
      <c r="L35" s="50">
        <f>IF(命令簿!G36&lt;&gt;"",命令簿!G36,IF(命令簿!F36&lt;&gt;"",命令簿!F36,0))</f>
        <v>0</v>
      </c>
      <c r="M35" s="50">
        <f>IF(命令簿!I36&lt;&gt;"",命令簿!I36,$L35)</f>
        <v>0</v>
      </c>
      <c r="N35" s="50">
        <f>IF(命令簿!I36&lt;&gt;"",命令簿!F36,L35)</f>
        <v>0</v>
      </c>
      <c r="O35" s="50">
        <f t="shared" si="10"/>
        <v>0</v>
      </c>
      <c r="P35" s="355"/>
      <c r="R35" s="31">
        <f t="shared" si="0"/>
        <v>0</v>
      </c>
      <c r="S35" s="31">
        <f t="shared" si="1"/>
        <v>0</v>
      </c>
      <c r="T35" s="31">
        <f t="shared" si="2"/>
        <v>0</v>
      </c>
      <c r="U35" s="31">
        <f t="shared" si="3"/>
        <v>0</v>
      </c>
      <c r="V35" s="31">
        <f t="shared" si="4"/>
        <v>0</v>
      </c>
      <c r="W35" s="31">
        <f t="shared" si="31"/>
        <v>0</v>
      </c>
      <c r="X35" s="31">
        <f t="shared" si="11"/>
        <v>0</v>
      </c>
      <c r="Y35" s="31">
        <f t="shared" si="33"/>
        <v>0</v>
      </c>
      <c r="Z35" s="31">
        <f t="shared" si="33"/>
        <v>0</v>
      </c>
      <c r="AA35" s="31">
        <f t="shared" si="33"/>
        <v>0</v>
      </c>
      <c r="AB35" s="31">
        <f t="shared" si="33"/>
        <v>0</v>
      </c>
      <c r="AC35" s="31">
        <f t="shared" si="35"/>
        <v>0</v>
      </c>
      <c r="AD35" s="31">
        <f t="shared" si="7"/>
        <v>0</v>
      </c>
      <c r="AE35" s="31">
        <f t="shared" si="12"/>
        <v>0</v>
      </c>
      <c r="AF35" s="31">
        <f t="shared" si="36"/>
        <v>0</v>
      </c>
      <c r="AG35" s="31">
        <f t="shared" si="34"/>
        <v>0</v>
      </c>
      <c r="AH35" s="31">
        <f t="shared" si="34"/>
        <v>0</v>
      </c>
      <c r="AI35" s="31">
        <f t="shared" si="34"/>
        <v>0</v>
      </c>
      <c r="AJ35" s="31">
        <f t="shared" si="34"/>
        <v>0</v>
      </c>
      <c r="AK35" s="31">
        <f t="shared" si="34"/>
        <v>0</v>
      </c>
      <c r="AL35" s="31">
        <f t="shared" si="34"/>
        <v>0</v>
      </c>
      <c r="AM35" s="31">
        <f t="shared" si="34"/>
        <v>0</v>
      </c>
      <c r="AN35" s="31">
        <f t="shared" si="34"/>
        <v>0</v>
      </c>
      <c r="AO35" s="31">
        <f t="shared" si="34"/>
        <v>0</v>
      </c>
      <c r="AP35" s="31">
        <f t="shared" si="34"/>
        <v>0</v>
      </c>
      <c r="AQ35" s="31">
        <f t="shared" si="34"/>
        <v>0</v>
      </c>
      <c r="AR35" s="31">
        <f t="shared" si="34"/>
        <v>0</v>
      </c>
      <c r="AS35" s="31">
        <f t="shared" si="34"/>
        <v>0</v>
      </c>
      <c r="AT35" s="31">
        <f t="shared" si="34"/>
        <v>0</v>
      </c>
      <c r="AU35" s="31">
        <f t="shared" si="34"/>
        <v>0</v>
      </c>
      <c r="AW35" s="22">
        <f t="shared" si="14"/>
        <v>0</v>
      </c>
      <c r="AX35" s="22">
        <f t="shared" si="15"/>
        <v>0</v>
      </c>
      <c r="AY35" s="22">
        <f t="shared" si="16"/>
        <v>0</v>
      </c>
      <c r="AZ35" s="22">
        <f t="shared" si="17"/>
        <v>0</v>
      </c>
      <c r="BA35" s="22">
        <f t="shared" si="18"/>
        <v>0</v>
      </c>
      <c r="BB35" s="22">
        <f t="shared" si="19"/>
        <v>0</v>
      </c>
      <c r="BC35" s="22">
        <f t="shared" si="20"/>
        <v>0</v>
      </c>
      <c r="BD35" s="22">
        <f t="shared" si="21"/>
        <v>0</v>
      </c>
      <c r="BE35" s="22">
        <f t="shared" si="22"/>
        <v>0</v>
      </c>
      <c r="BF35" s="22">
        <f t="shared" si="23"/>
        <v>0</v>
      </c>
      <c r="BG35" s="22">
        <f t="shared" si="24"/>
        <v>0</v>
      </c>
      <c r="BH35" s="22">
        <f t="shared" si="25"/>
        <v>0</v>
      </c>
      <c r="BI35" s="22">
        <f t="shared" si="26"/>
        <v>0</v>
      </c>
      <c r="BJ35" s="22">
        <f t="shared" si="27"/>
        <v>0</v>
      </c>
      <c r="BK35" s="22">
        <f t="shared" si="28"/>
        <v>0</v>
      </c>
      <c r="BL35" s="22">
        <f t="shared" si="29"/>
        <v>0</v>
      </c>
      <c r="BM35" s="22" t="str">
        <f t="shared" si="30"/>
        <v>OK</v>
      </c>
    </row>
    <row r="36" spans="1:65">
      <c r="A36" s="29">
        <f>補助簿!B36</f>
        <v>41090</v>
      </c>
      <c r="B36" s="150">
        <f>命令簿!C39</f>
        <v>0</v>
      </c>
      <c r="C36" t="b">
        <f>VLOOKUP($B36,勤務形態オプション!$A$3:$D$10,C$6,FALSE)</f>
        <v>1</v>
      </c>
      <c r="D36" t="b">
        <f>VLOOKUP($B36,勤務形態オプション!$A$3:$D$10,D$6,FALSE)</f>
        <v>0</v>
      </c>
      <c r="E36" t="b">
        <f>VLOOKUP($B36,勤務形態オプション!$A$3:$D$10,E$6,FALSE)</f>
        <v>0</v>
      </c>
      <c r="F36" s="50">
        <f>補助簿!$E36</f>
        <v>0</v>
      </c>
      <c r="G36" s="50">
        <f>補助簿!$F36</f>
        <v>0</v>
      </c>
      <c r="H36" s="50">
        <f>補助簿!$C36</f>
        <v>0</v>
      </c>
      <c r="I36" s="50">
        <f>補助簿!$D36</f>
        <v>0</v>
      </c>
      <c r="J36" s="58">
        <v>1</v>
      </c>
      <c r="K36" s="50">
        <f>IF(命令簿!D37&lt;&gt;"",命令簿!D37,0)</f>
        <v>0</v>
      </c>
      <c r="L36" s="50">
        <f>IF(命令簿!G37&lt;&gt;"",命令簿!G37,IF(命令簿!F37&lt;&gt;"",命令簿!F37,0))</f>
        <v>0</v>
      </c>
      <c r="M36" s="50">
        <f>IF(命令簿!I37&lt;&gt;"",命令簿!I37,$L36)</f>
        <v>0</v>
      </c>
      <c r="N36" s="50">
        <f>IF(命令簿!I37&lt;&gt;"",命令簿!F37,L36)</f>
        <v>0</v>
      </c>
      <c r="O36" s="50">
        <f t="shared" si="10"/>
        <v>0</v>
      </c>
      <c r="P36" s="355">
        <f>SUM(O36:O38)</f>
        <v>0</v>
      </c>
      <c r="R36" s="31">
        <f t="shared" si="0"/>
        <v>0</v>
      </c>
      <c r="S36" s="31">
        <f t="shared" si="1"/>
        <v>0</v>
      </c>
      <c r="T36" s="31">
        <f t="shared" si="2"/>
        <v>0</v>
      </c>
      <c r="U36" s="31">
        <f t="shared" si="3"/>
        <v>0</v>
      </c>
      <c r="V36" s="31">
        <f t="shared" si="4"/>
        <v>0</v>
      </c>
      <c r="W36" s="31">
        <f t="shared" si="31"/>
        <v>0</v>
      </c>
      <c r="X36" s="31">
        <f t="shared" si="11"/>
        <v>0</v>
      </c>
      <c r="Y36" s="31">
        <f t="shared" si="33"/>
        <v>0</v>
      </c>
      <c r="Z36" s="31">
        <f t="shared" si="33"/>
        <v>0</v>
      </c>
      <c r="AA36" s="31">
        <f t="shared" si="33"/>
        <v>0</v>
      </c>
      <c r="AB36" s="31">
        <f t="shared" si="33"/>
        <v>0</v>
      </c>
      <c r="AC36" s="31">
        <f t="shared" si="35"/>
        <v>0</v>
      </c>
      <c r="AD36" s="31">
        <f t="shared" si="7"/>
        <v>0</v>
      </c>
      <c r="AE36" s="31">
        <f t="shared" si="12"/>
        <v>0</v>
      </c>
      <c r="AF36" s="31">
        <f t="shared" si="36"/>
        <v>0</v>
      </c>
      <c r="AG36" s="31">
        <f t="shared" si="34"/>
        <v>0</v>
      </c>
      <c r="AH36" s="31">
        <f t="shared" si="34"/>
        <v>0</v>
      </c>
      <c r="AI36" s="31">
        <f t="shared" si="34"/>
        <v>0</v>
      </c>
      <c r="AJ36" s="31">
        <f t="shared" si="34"/>
        <v>0</v>
      </c>
      <c r="AK36" s="31">
        <f t="shared" si="34"/>
        <v>0</v>
      </c>
      <c r="AL36" s="31">
        <f t="shared" si="34"/>
        <v>0</v>
      </c>
      <c r="AM36" s="31">
        <f t="shared" si="34"/>
        <v>0</v>
      </c>
      <c r="AN36" s="31">
        <f t="shared" si="34"/>
        <v>0</v>
      </c>
      <c r="AO36" s="31">
        <f t="shared" si="34"/>
        <v>0</v>
      </c>
      <c r="AP36" s="31">
        <f t="shared" si="34"/>
        <v>0</v>
      </c>
      <c r="AQ36" s="31">
        <f t="shared" si="34"/>
        <v>0</v>
      </c>
      <c r="AR36" s="31">
        <f t="shared" si="34"/>
        <v>0</v>
      </c>
      <c r="AS36" s="31">
        <f t="shared" si="34"/>
        <v>0</v>
      </c>
      <c r="AT36" s="31">
        <f t="shared" si="34"/>
        <v>0</v>
      </c>
      <c r="AU36" s="31">
        <f t="shared" si="34"/>
        <v>0</v>
      </c>
      <c r="AW36" s="22">
        <f t="shared" si="14"/>
        <v>0</v>
      </c>
      <c r="AX36" s="22">
        <f t="shared" si="15"/>
        <v>0</v>
      </c>
      <c r="AY36" s="22">
        <f t="shared" si="16"/>
        <v>0</v>
      </c>
      <c r="AZ36" s="22">
        <f t="shared" si="17"/>
        <v>0</v>
      </c>
      <c r="BA36" s="22">
        <f t="shared" si="18"/>
        <v>0</v>
      </c>
      <c r="BB36" s="22">
        <f t="shared" si="19"/>
        <v>0</v>
      </c>
      <c r="BC36" s="22">
        <f t="shared" si="20"/>
        <v>0</v>
      </c>
      <c r="BD36" s="22">
        <f t="shared" si="21"/>
        <v>0</v>
      </c>
      <c r="BE36" s="22">
        <f t="shared" si="22"/>
        <v>0</v>
      </c>
      <c r="BF36" s="22">
        <f t="shared" si="23"/>
        <v>0</v>
      </c>
      <c r="BG36" s="22">
        <f t="shared" si="24"/>
        <v>0</v>
      </c>
      <c r="BH36" s="22">
        <f t="shared" si="25"/>
        <v>0</v>
      </c>
      <c r="BI36" s="22">
        <f t="shared" si="26"/>
        <v>0</v>
      </c>
      <c r="BJ36" s="22">
        <f t="shared" si="27"/>
        <v>0</v>
      </c>
      <c r="BK36" s="22">
        <f t="shared" si="28"/>
        <v>0</v>
      </c>
      <c r="BL36" s="22">
        <f t="shared" si="29"/>
        <v>0</v>
      </c>
      <c r="BM36" s="22" t="str">
        <f t="shared" si="30"/>
        <v>OK</v>
      </c>
    </row>
    <row r="37" spans="1:65">
      <c r="A37" s="29">
        <f>A36</f>
        <v>41090</v>
      </c>
      <c r="B37">
        <f>B36</f>
        <v>0</v>
      </c>
      <c r="C37" t="b">
        <f>VLOOKUP($B37,勤務形態オプション!$A$3:$D$10,C$6,FALSE)</f>
        <v>1</v>
      </c>
      <c r="D37" t="b">
        <f>VLOOKUP($B37,勤務形態オプション!$A$3:$D$10,D$6,FALSE)</f>
        <v>0</v>
      </c>
      <c r="E37" t="b">
        <f>VLOOKUP($B37,勤務形態オプション!$A$3:$D$10,E$6,FALSE)</f>
        <v>0</v>
      </c>
      <c r="F37" s="50">
        <f>F36</f>
        <v>0</v>
      </c>
      <c r="G37" s="50">
        <f>G36</f>
        <v>0</v>
      </c>
      <c r="H37" s="50">
        <f>H36</f>
        <v>0</v>
      </c>
      <c r="I37" s="50">
        <f>I36</f>
        <v>0</v>
      </c>
      <c r="J37" s="58">
        <v>2</v>
      </c>
      <c r="K37" s="50">
        <f>IF(命令簿!D38&lt;&gt;"",命令簿!D38,0)</f>
        <v>0</v>
      </c>
      <c r="L37" s="50">
        <f>IF(命令簿!G38&lt;&gt;"",命令簿!G38,IF(命令簿!F38&lt;&gt;"",命令簿!F38,0))</f>
        <v>0</v>
      </c>
      <c r="M37" s="50">
        <f>IF(命令簿!I38&lt;&gt;"",命令簿!I38,$L37)</f>
        <v>0</v>
      </c>
      <c r="N37" s="50">
        <f>IF(命令簿!I38&lt;&gt;"",命令簿!F38,L37)</f>
        <v>0</v>
      </c>
      <c r="O37" s="50">
        <f t="shared" si="10"/>
        <v>0</v>
      </c>
      <c r="P37" s="355"/>
      <c r="R37" s="31">
        <f t="shared" si="0"/>
        <v>0</v>
      </c>
      <c r="S37" s="31">
        <f t="shared" si="1"/>
        <v>0</v>
      </c>
      <c r="T37" s="31">
        <f t="shared" si="2"/>
        <v>0</v>
      </c>
      <c r="U37" s="31">
        <f t="shared" si="3"/>
        <v>0</v>
      </c>
      <c r="V37" s="31">
        <f t="shared" si="4"/>
        <v>0</v>
      </c>
      <c r="W37" s="31">
        <f t="shared" si="31"/>
        <v>0</v>
      </c>
      <c r="X37" s="31">
        <f t="shared" si="11"/>
        <v>0</v>
      </c>
      <c r="Y37" s="31">
        <f t="shared" si="33"/>
        <v>0</v>
      </c>
      <c r="Z37" s="31">
        <f t="shared" si="33"/>
        <v>0</v>
      </c>
      <c r="AA37" s="31">
        <f t="shared" si="33"/>
        <v>0</v>
      </c>
      <c r="AB37" s="31">
        <f t="shared" si="33"/>
        <v>0</v>
      </c>
      <c r="AC37" s="31">
        <f t="shared" si="35"/>
        <v>0</v>
      </c>
      <c r="AD37" s="31">
        <f t="shared" si="7"/>
        <v>0</v>
      </c>
      <c r="AE37" s="31">
        <f t="shared" si="12"/>
        <v>0</v>
      </c>
      <c r="AF37" s="31">
        <f t="shared" si="36"/>
        <v>0</v>
      </c>
      <c r="AG37" s="31">
        <f t="shared" si="34"/>
        <v>0</v>
      </c>
      <c r="AH37" s="31">
        <f t="shared" si="34"/>
        <v>0</v>
      </c>
      <c r="AI37" s="31">
        <f t="shared" si="34"/>
        <v>0</v>
      </c>
      <c r="AJ37" s="31">
        <f t="shared" si="34"/>
        <v>0</v>
      </c>
      <c r="AK37" s="31">
        <f t="shared" si="34"/>
        <v>0</v>
      </c>
      <c r="AL37" s="31">
        <f t="shared" si="34"/>
        <v>0</v>
      </c>
      <c r="AM37" s="31">
        <f t="shared" si="34"/>
        <v>0</v>
      </c>
      <c r="AN37" s="31">
        <f t="shared" si="34"/>
        <v>0</v>
      </c>
      <c r="AO37" s="31">
        <f t="shared" si="34"/>
        <v>0</v>
      </c>
      <c r="AP37" s="31">
        <f t="shared" si="34"/>
        <v>0</v>
      </c>
      <c r="AQ37" s="31">
        <f t="shared" si="34"/>
        <v>0</v>
      </c>
      <c r="AR37" s="31">
        <f t="shared" si="34"/>
        <v>0</v>
      </c>
      <c r="AS37" s="31">
        <f t="shared" si="34"/>
        <v>0</v>
      </c>
      <c r="AT37" s="31">
        <f t="shared" si="34"/>
        <v>0</v>
      </c>
      <c r="AU37" s="31">
        <f t="shared" si="34"/>
        <v>0</v>
      </c>
      <c r="AW37" s="22">
        <f t="shared" si="14"/>
        <v>0</v>
      </c>
      <c r="AX37" s="22">
        <f t="shared" si="15"/>
        <v>0</v>
      </c>
      <c r="AY37" s="22">
        <f t="shared" si="16"/>
        <v>0</v>
      </c>
      <c r="AZ37" s="22">
        <f t="shared" si="17"/>
        <v>0</v>
      </c>
      <c r="BA37" s="22">
        <f t="shared" si="18"/>
        <v>0</v>
      </c>
      <c r="BB37" s="22">
        <f t="shared" si="19"/>
        <v>0</v>
      </c>
      <c r="BC37" s="22">
        <f t="shared" si="20"/>
        <v>0</v>
      </c>
      <c r="BD37" s="22">
        <f t="shared" si="21"/>
        <v>0</v>
      </c>
      <c r="BE37" s="22">
        <f t="shared" si="22"/>
        <v>0</v>
      </c>
      <c r="BF37" s="22">
        <f t="shared" si="23"/>
        <v>0</v>
      </c>
      <c r="BG37" s="22">
        <f t="shared" si="24"/>
        <v>0</v>
      </c>
      <c r="BH37" s="22">
        <f t="shared" si="25"/>
        <v>0</v>
      </c>
      <c r="BI37" s="22">
        <f t="shared" si="26"/>
        <v>0</v>
      </c>
      <c r="BJ37" s="22">
        <f t="shared" si="27"/>
        <v>0</v>
      </c>
      <c r="BK37" s="22">
        <f t="shared" si="28"/>
        <v>0</v>
      </c>
      <c r="BL37" s="22">
        <f t="shared" si="29"/>
        <v>0</v>
      </c>
      <c r="BM37" s="22" t="str">
        <f t="shared" si="30"/>
        <v>OK</v>
      </c>
    </row>
    <row r="38" spans="1:65">
      <c r="A38" s="29">
        <f>A37</f>
        <v>41090</v>
      </c>
      <c r="B38">
        <f>B37</f>
        <v>0</v>
      </c>
      <c r="C38" t="b">
        <f>VLOOKUP($B38,勤務形態オプション!$A$3:$D$10,C$6,FALSE)</f>
        <v>1</v>
      </c>
      <c r="D38" t="b">
        <f>VLOOKUP($B38,勤務形態オプション!$A$3:$D$10,D$6,FALSE)</f>
        <v>0</v>
      </c>
      <c r="E38" t="b">
        <f>VLOOKUP($B38,勤務形態オプション!$A$3:$D$10,E$6,FALSE)</f>
        <v>0</v>
      </c>
      <c r="F38" s="50">
        <f>F36</f>
        <v>0</v>
      </c>
      <c r="G38" s="50">
        <f>G36</f>
        <v>0</v>
      </c>
      <c r="H38" s="50">
        <f>H36</f>
        <v>0</v>
      </c>
      <c r="I38" s="50">
        <f>I36</f>
        <v>0</v>
      </c>
      <c r="J38" s="58">
        <v>3</v>
      </c>
      <c r="K38" s="50">
        <f>IF(命令簿!D39&lt;&gt;"",命令簿!D39,0)</f>
        <v>0</v>
      </c>
      <c r="L38" s="50">
        <f>IF(命令簿!G39&lt;&gt;"",命令簿!G39,IF(命令簿!F39&lt;&gt;"",命令簿!F39,0))</f>
        <v>0</v>
      </c>
      <c r="M38" s="50">
        <f>IF(命令簿!I39&lt;&gt;"",命令簿!I39,$L38)</f>
        <v>0</v>
      </c>
      <c r="N38" s="50">
        <f>IF(命令簿!I39&lt;&gt;"",命令簿!F39,L38)</f>
        <v>0</v>
      </c>
      <c r="O38" s="50">
        <f t="shared" si="10"/>
        <v>0</v>
      </c>
      <c r="P38" s="355"/>
      <c r="R38" s="31">
        <f t="shared" si="0"/>
        <v>0</v>
      </c>
      <c r="S38" s="31">
        <f t="shared" si="1"/>
        <v>0</v>
      </c>
      <c r="T38" s="31">
        <f t="shared" si="2"/>
        <v>0</v>
      </c>
      <c r="U38" s="31">
        <f t="shared" si="3"/>
        <v>0</v>
      </c>
      <c r="V38" s="31">
        <f t="shared" si="4"/>
        <v>0</v>
      </c>
      <c r="W38" s="31">
        <f t="shared" si="31"/>
        <v>0</v>
      </c>
      <c r="X38" s="31">
        <f t="shared" si="11"/>
        <v>0</v>
      </c>
      <c r="Y38" s="31">
        <f t="shared" si="33"/>
        <v>0</v>
      </c>
      <c r="Z38" s="31">
        <f t="shared" si="33"/>
        <v>0</v>
      </c>
      <c r="AA38" s="31">
        <f t="shared" si="33"/>
        <v>0</v>
      </c>
      <c r="AB38" s="31">
        <f t="shared" si="33"/>
        <v>0</v>
      </c>
      <c r="AC38" s="31">
        <f t="shared" si="35"/>
        <v>0</v>
      </c>
      <c r="AD38" s="31">
        <f t="shared" si="7"/>
        <v>0</v>
      </c>
      <c r="AE38" s="31">
        <f t="shared" si="12"/>
        <v>0</v>
      </c>
      <c r="AF38" s="31">
        <f t="shared" si="36"/>
        <v>0</v>
      </c>
      <c r="AG38" s="31">
        <f t="shared" si="34"/>
        <v>0</v>
      </c>
      <c r="AH38" s="31">
        <f t="shared" si="34"/>
        <v>0</v>
      </c>
      <c r="AI38" s="31">
        <f t="shared" si="34"/>
        <v>0</v>
      </c>
      <c r="AJ38" s="31">
        <f t="shared" si="34"/>
        <v>0</v>
      </c>
      <c r="AK38" s="31">
        <f t="shared" si="34"/>
        <v>0</v>
      </c>
      <c r="AL38" s="31">
        <f t="shared" si="34"/>
        <v>0</v>
      </c>
      <c r="AM38" s="31">
        <f t="shared" si="34"/>
        <v>0</v>
      </c>
      <c r="AN38" s="31">
        <f t="shared" si="34"/>
        <v>0</v>
      </c>
      <c r="AO38" s="31">
        <f t="shared" si="34"/>
        <v>0</v>
      </c>
      <c r="AP38" s="31">
        <f t="shared" si="34"/>
        <v>0</v>
      </c>
      <c r="AQ38" s="31">
        <f t="shared" si="34"/>
        <v>0</v>
      </c>
      <c r="AR38" s="31">
        <f t="shared" si="34"/>
        <v>0</v>
      </c>
      <c r="AS38" s="31">
        <f t="shared" si="34"/>
        <v>0</v>
      </c>
      <c r="AT38" s="31">
        <f t="shared" si="34"/>
        <v>0</v>
      </c>
      <c r="AU38" s="31">
        <f t="shared" si="34"/>
        <v>0</v>
      </c>
      <c r="AW38" s="22">
        <f t="shared" si="14"/>
        <v>0</v>
      </c>
      <c r="AX38" s="22">
        <f t="shared" si="15"/>
        <v>0</v>
      </c>
      <c r="AY38" s="22">
        <f t="shared" si="16"/>
        <v>0</v>
      </c>
      <c r="AZ38" s="22">
        <f t="shared" si="17"/>
        <v>0</v>
      </c>
      <c r="BA38" s="22">
        <f t="shared" si="18"/>
        <v>0</v>
      </c>
      <c r="BB38" s="22">
        <f t="shared" si="19"/>
        <v>0</v>
      </c>
      <c r="BC38" s="22">
        <f t="shared" si="20"/>
        <v>0</v>
      </c>
      <c r="BD38" s="22">
        <f t="shared" si="21"/>
        <v>0</v>
      </c>
      <c r="BE38" s="22">
        <f t="shared" si="22"/>
        <v>0</v>
      </c>
      <c r="BF38" s="22">
        <f t="shared" si="23"/>
        <v>0</v>
      </c>
      <c r="BG38" s="22">
        <f t="shared" si="24"/>
        <v>0</v>
      </c>
      <c r="BH38" s="22">
        <f t="shared" si="25"/>
        <v>0</v>
      </c>
      <c r="BI38" s="22">
        <f t="shared" si="26"/>
        <v>0</v>
      </c>
      <c r="BJ38" s="22">
        <f t="shared" si="27"/>
        <v>0</v>
      </c>
      <c r="BK38" s="22">
        <f t="shared" si="28"/>
        <v>0</v>
      </c>
      <c r="BL38" s="22">
        <f t="shared" si="29"/>
        <v>0</v>
      </c>
      <c r="BM38" s="22" t="str">
        <f t="shared" si="30"/>
        <v>OK</v>
      </c>
    </row>
    <row r="39" spans="1:65">
      <c r="A39" s="29" t="str">
        <f>補助簿!B39</f>
        <v/>
      </c>
      <c r="B39" s="151">
        <f>命令簿!C42</f>
        <v>0</v>
      </c>
      <c r="C39" t="b">
        <f>VLOOKUP($B39,勤務形態オプション!$A$3:$D$10,C$6,FALSE)</f>
        <v>1</v>
      </c>
      <c r="D39" t="b">
        <f>VLOOKUP($B39,勤務形態オプション!$A$3:$D$10,D$6,FALSE)</f>
        <v>0</v>
      </c>
      <c r="E39" t="b">
        <f>VLOOKUP($B39,勤務形態オプション!$A$3:$D$10,E$6,FALSE)</f>
        <v>0</v>
      </c>
      <c r="F39" s="50">
        <f>補助簿!$E39</f>
        <v>0</v>
      </c>
      <c r="G39" s="50">
        <f>補助簿!$F39</f>
        <v>0</v>
      </c>
      <c r="H39" s="50">
        <f>補助簿!$C39</f>
        <v>0</v>
      </c>
      <c r="I39" s="50">
        <f>補助簿!$D39</f>
        <v>0</v>
      </c>
      <c r="J39" s="58">
        <v>1</v>
      </c>
      <c r="K39" s="50">
        <f>IF(命令簿!D40&lt;&gt;"",命令簿!D40,0)</f>
        <v>0</v>
      </c>
      <c r="L39" s="50">
        <f>IF(命令簿!G40&lt;&gt;"",命令簿!G40,IF(命令簿!F40&lt;&gt;"",命令簿!F40,0))</f>
        <v>0</v>
      </c>
      <c r="M39" s="50">
        <f>IF(命令簿!I40&lt;&gt;"",命令簿!I40,$L39)</f>
        <v>0</v>
      </c>
      <c r="N39" s="50">
        <f>IF(命令簿!I40&lt;&gt;"",命令簿!F40,L39)</f>
        <v>0</v>
      </c>
      <c r="O39" s="50">
        <f t="shared" si="10"/>
        <v>0</v>
      </c>
      <c r="P39" s="355">
        <f>SUM(O39:O41)</f>
        <v>0</v>
      </c>
      <c r="R39" s="31">
        <f t="shared" si="0"/>
        <v>0</v>
      </c>
      <c r="S39" s="31">
        <f t="shared" si="1"/>
        <v>0</v>
      </c>
      <c r="T39" s="31">
        <f t="shared" si="2"/>
        <v>0</v>
      </c>
      <c r="U39" s="31">
        <f t="shared" si="3"/>
        <v>0</v>
      </c>
      <c r="V39" s="31">
        <f t="shared" si="4"/>
        <v>0</v>
      </c>
      <c r="W39" s="31">
        <f t="shared" si="31"/>
        <v>0</v>
      </c>
      <c r="X39" s="31">
        <f t="shared" si="11"/>
        <v>0</v>
      </c>
      <c r="Y39" s="31">
        <f t="shared" si="33"/>
        <v>0</v>
      </c>
      <c r="Z39" s="31">
        <f t="shared" si="33"/>
        <v>0</v>
      </c>
      <c r="AA39" s="31">
        <f t="shared" si="33"/>
        <v>0</v>
      </c>
      <c r="AB39" s="31">
        <f t="shared" si="33"/>
        <v>0</v>
      </c>
      <c r="AC39" s="31">
        <f t="shared" si="35"/>
        <v>0</v>
      </c>
      <c r="AD39" s="31">
        <f t="shared" si="7"/>
        <v>0</v>
      </c>
      <c r="AE39" s="31">
        <f t="shared" si="12"/>
        <v>0</v>
      </c>
      <c r="AF39" s="31">
        <f t="shared" si="36"/>
        <v>0</v>
      </c>
      <c r="AG39" s="31">
        <f t="shared" ref="AG39:AU48" si="37">AllocateWorkTime($C39:$I39,$Y39:$AF39,AG$6)</f>
        <v>0</v>
      </c>
      <c r="AH39" s="31">
        <f t="shared" si="37"/>
        <v>0</v>
      </c>
      <c r="AI39" s="31">
        <f t="shared" si="37"/>
        <v>0</v>
      </c>
      <c r="AJ39" s="31">
        <f t="shared" si="37"/>
        <v>0</v>
      </c>
      <c r="AK39" s="31">
        <f t="shared" si="37"/>
        <v>0</v>
      </c>
      <c r="AL39" s="31">
        <f t="shared" si="37"/>
        <v>0</v>
      </c>
      <c r="AM39" s="31">
        <f t="shared" si="37"/>
        <v>0</v>
      </c>
      <c r="AN39" s="31">
        <f t="shared" si="37"/>
        <v>0</v>
      </c>
      <c r="AO39" s="31">
        <f t="shared" si="37"/>
        <v>0</v>
      </c>
      <c r="AP39" s="31">
        <f t="shared" si="37"/>
        <v>0</v>
      </c>
      <c r="AQ39" s="31">
        <f t="shared" si="37"/>
        <v>0</v>
      </c>
      <c r="AR39" s="31">
        <f t="shared" si="37"/>
        <v>0</v>
      </c>
      <c r="AS39" s="31">
        <f t="shared" si="37"/>
        <v>0</v>
      </c>
      <c r="AT39" s="31">
        <f t="shared" si="37"/>
        <v>0</v>
      </c>
      <c r="AU39" s="31">
        <f t="shared" si="37"/>
        <v>0</v>
      </c>
      <c r="AW39" s="22">
        <f t="shared" si="14"/>
        <v>0</v>
      </c>
      <c r="AX39" s="22">
        <f t="shared" si="15"/>
        <v>0</v>
      </c>
      <c r="AY39" s="22">
        <f t="shared" si="16"/>
        <v>0</v>
      </c>
      <c r="AZ39" s="22">
        <f t="shared" si="17"/>
        <v>0</v>
      </c>
      <c r="BA39" s="22">
        <f t="shared" si="18"/>
        <v>0</v>
      </c>
      <c r="BB39" s="22">
        <f t="shared" si="19"/>
        <v>0</v>
      </c>
      <c r="BC39" s="22">
        <f t="shared" si="20"/>
        <v>0</v>
      </c>
      <c r="BD39" s="22">
        <f t="shared" si="21"/>
        <v>0</v>
      </c>
      <c r="BE39" s="22">
        <f t="shared" si="22"/>
        <v>0</v>
      </c>
      <c r="BF39" s="22">
        <f t="shared" si="23"/>
        <v>0</v>
      </c>
      <c r="BG39" s="22">
        <f t="shared" si="24"/>
        <v>0</v>
      </c>
      <c r="BH39" s="22">
        <f t="shared" si="25"/>
        <v>0</v>
      </c>
      <c r="BI39" s="22">
        <f t="shared" si="26"/>
        <v>0</v>
      </c>
      <c r="BJ39" s="22">
        <f t="shared" si="27"/>
        <v>0</v>
      </c>
      <c r="BK39" s="22">
        <f t="shared" si="28"/>
        <v>0</v>
      </c>
      <c r="BL39" s="22">
        <f t="shared" si="29"/>
        <v>0</v>
      </c>
      <c r="BM39" s="22" t="str">
        <f t="shared" si="30"/>
        <v>OK</v>
      </c>
    </row>
    <row r="40" spans="1:65">
      <c r="A40" s="29" t="str">
        <f>A39</f>
        <v/>
      </c>
      <c r="B40">
        <f>B39</f>
        <v>0</v>
      </c>
      <c r="C40" t="b">
        <f>VLOOKUP($B40,勤務形態オプション!$A$3:$D$10,C$6,FALSE)</f>
        <v>1</v>
      </c>
      <c r="D40" t="b">
        <f>VLOOKUP($B40,勤務形態オプション!$A$3:$D$10,D$6,FALSE)</f>
        <v>0</v>
      </c>
      <c r="E40" t="b">
        <f>VLOOKUP($B40,勤務形態オプション!$A$3:$D$10,E$6,FALSE)</f>
        <v>0</v>
      </c>
      <c r="F40" s="50">
        <f>F39</f>
        <v>0</v>
      </c>
      <c r="G40" s="50">
        <f>G39</f>
        <v>0</v>
      </c>
      <c r="H40" s="50">
        <f>H39</f>
        <v>0</v>
      </c>
      <c r="I40" s="50">
        <f>I39</f>
        <v>0</v>
      </c>
      <c r="J40" s="58">
        <v>2</v>
      </c>
      <c r="K40" s="50">
        <f>IF(命令簿!D41&lt;&gt;"",命令簿!D41,0)</f>
        <v>0</v>
      </c>
      <c r="L40" s="50">
        <f>IF(命令簿!G41&lt;&gt;"",命令簿!G41,IF(命令簿!F41&lt;&gt;"",命令簿!F41,0))</f>
        <v>0</v>
      </c>
      <c r="M40" s="50">
        <f>IF(命令簿!I41&lt;&gt;"",命令簿!I41,$L40)</f>
        <v>0</v>
      </c>
      <c r="N40" s="50">
        <f>IF(命令簿!I41&lt;&gt;"",命令簿!F41,L40)</f>
        <v>0</v>
      </c>
      <c r="O40" s="50">
        <f t="shared" si="10"/>
        <v>0</v>
      </c>
      <c r="P40" s="355"/>
      <c r="R40" s="31">
        <f t="shared" si="0"/>
        <v>0</v>
      </c>
      <c r="S40" s="31">
        <f t="shared" si="1"/>
        <v>0</v>
      </c>
      <c r="T40" s="31">
        <f t="shared" si="2"/>
        <v>0</v>
      </c>
      <c r="U40" s="31">
        <f t="shared" si="3"/>
        <v>0</v>
      </c>
      <c r="V40" s="31">
        <f t="shared" si="4"/>
        <v>0</v>
      </c>
      <c r="W40" s="31">
        <f t="shared" si="31"/>
        <v>0</v>
      </c>
      <c r="X40" s="31">
        <f t="shared" si="11"/>
        <v>0</v>
      </c>
      <c r="Y40" s="31">
        <f t="shared" si="33"/>
        <v>0</v>
      </c>
      <c r="Z40" s="31">
        <f t="shared" si="33"/>
        <v>0</v>
      </c>
      <c r="AA40" s="31">
        <f t="shared" si="33"/>
        <v>0</v>
      </c>
      <c r="AB40" s="31">
        <f t="shared" si="33"/>
        <v>0</v>
      </c>
      <c r="AC40" s="31">
        <f t="shared" si="35"/>
        <v>0</v>
      </c>
      <c r="AD40" s="31">
        <f t="shared" si="7"/>
        <v>0</v>
      </c>
      <c r="AE40" s="31">
        <f t="shared" si="12"/>
        <v>0</v>
      </c>
      <c r="AF40" s="31">
        <f t="shared" si="36"/>
        <v>0</v>
      </c>
      <c r="AG40" s="31">
        <f t="shared" si="37"/>
        <v>0</v>
      </c>
      <c r="AH40" s="31">
        <f t="shared" si="37"/>
        <v>0</v>
      </c>
      <c r="AI40" s="31">
        <f t="shared" si="37"/>
        <v>0</v>
      </c>
      <c r="AJ40" s="31">
        <f t="shared" si="37"/>
        <v>0</v>
      </c>
      <c r="AK40" s="31">
        <f t="shared" si="37"/>
        <v>0</v>
      </c>
      <c r="AL40" s="31">
        <f t="shared" si="37"/>
        <v>0</v>
      </c>
      <c r="AM40" s="31">
        <f t="shared" si="37"/>
        <v>0</v>
      </c>
      <c r="AN40" s="31">
        <f t="shared" si="37"/>
        <v>0</v>
      </c>
      <c r="AO40" s="31">
        <f t="shared" si="37"/>
        <v>0</v>
      </c>
      <c r="AP40" s="31">
        <f t="shared" si="37"/>
        <v>0</v>
      </c>
      <c r="AQ40" s="31">
        <f t="shared" si="37"/>
        <v>0</v>
      </c>
      <c r="AR40" s="31">
        <f t="shared" si="37"/>
        <v>0</v>
      </c>
      <c r="AS40" s="31">
        <f t="shared" si="37"/>
        <v>0</v>
      </c>
      <c r="AT40" s="31">
        <f t="shared" si="37"/>
        <v>0</v>
      </c>
      <c r="AU40" s="31">
        <f t="shared" si="37"/>
        <v>0</v>
      </c>
      <c r="AW40" s="22">
        <f t="shared" si="14"/>
        <v>0</v>
      </c>
      <c r="AX40" s="22">
        <f t="shared" si="15"/>
        <v>0</v>
      </c>
      <c r="AY40" s="22">
        <f t="shared" si="16"/>
        <v>0</v>
      </c>
      <c r="AZ40" s="22">
        <f t="shared" si="17"/>
        <v>0</v>
      </c>
      <c r="BA40" s="22">
        <f t="shared" si="18"/>
        <v>0</v>
      </c>
      <c r="BB40" s="22">
        <f t="shared" si="19"/>
        <v>0</v>
      </c>
      <c r="BC40" s="22">
        <f t="shared" si="20"/>
        <v>0</v>
      </c>
      <c r="BD40" s="22">
        <f t="shared" si="21"/>
        <v>0</v>
      </c>
      <c r="BE40" s="22">
        <f t="shared" si="22"/>
        <v>0</v>
      </c>
      <c r="BF40" s="22">
        <f t="shared" si="23"/>
        <v>0</v>
      </c>
      <c r="BG40" s="22">
        <f t="shared" si="24"/>
        <v>0</v>
      </c>
      <c r="BH40" s="22">
        <f t="shared" si="25"/>
        <v>0</v>
      </c>
      <c r="BI40" s="22">
        <f t="shared" si="26"/>
        <v>0</v>
      </c>
      <c r="BJ40" s="22">
        <f t="shared" si="27"/>
        <v>0</v>
      </c>
      <c r="BK40" s="22">
        <f t="shared" si="28"/>
        <v>0</v>
      </c>
      <c r="BL40" s="22">
        <f t="shared" si="29"/>
        <v>0</v>
      </c>
      <c r="BM40" s="22" t="str">
        <f t="shared" si="30"/>
        <v>OK</v>
      </c>
    </row>
    <row r="41" spans="1:65">
      <c r="A41" s="29" t="str">
        <f>A40</f>
        <v/>
      </c>
      <c r="B41">
        <f>B40</f>
        <v>0</v>
      </c>
      <c r="C41" t="b">
        <f>VLOOKUP($B41,勤務形態オプション!$A$3:$D$10,C$6,FALSE)</f>
        <v>1</v>
      </c>
      <c r="D41" t="b">
        <f>VLOOKUP($B41,勤務形態オプション!$A$3:$D$10,D$6,FALSE)</f>
        <v>0</v>
      </c>
      <c r="E41" t="b">
        <f>VLOOKUP($B41,勤務形態オプション!$A$3:$D$10,E$6,FALSE)</f>
        <v>0</v>
      </c>
      <c r="F41" s="50">
        <f>F39</f>
        <v>0</v>
      </c>
      <c r="G41" s="50">
        <f>G39</f>
        <v>0</v>
      </c>
      <c r="H41" s="50">
        <f>H39</f>
        <v>0</v>
      </c>
      <c r="I41" s="50">
        <f>I39</f>
        <v>0</v>
      </c>
      <c r="J41" s="58">
        <v>3</v>
      </c>
      <c r="K41" s="50">
        <f>IF(命令簿!D42&lt;&gt;"",命令簿!D42,0)</f>
        <v>0</v>
      </c>
      <c r="L41" s="50">
        <f>IF(命令簿!G42&lt;&gt;"",命令簿!G42,IF(命令簿!F42&lt;&gt;"",命令簿!F42,0))</f>
        <v>0</v>
      </c>
      <c r="M41" s="50">
        <f>IF(命令簿!I42&lt;&gt;"",命令簿!I42,$L41)</f>
        <v>0</v>
      </c>
      <c r="N41" s="50">
        <f>IF(命令簿!I42&lt;&gt;"",命令簿!F42,L41)</f>
        <v>0</v>
      </c>
      <c r="O41" s="50">
        <f t="shared" si="10"/>
        <v>0</v>
      </c>
      <c r="P41" s="355"/>
      <c r="R41" s="31">
        <f t="shared" ref="R41:R72" si="38">GetTimeAmount($K41,$L41,$M41,$N41,R$7,R$8)</f>
        <v>0</v>
      </c>
      <c r="S41" s="31">
        <f t="shared" ref="S41:S72" si="39">GetTimeAmountNormal($D41,$E41,$F41,$G41,$H41,$I41,$K41,$L41,$M41,$N41)</f>
        <v>0</v>
      </c>
      <c r="T41" s="31">
        <f t="shared" ref="T41:T72" si="40">GetTimeAmountUntil2200($D41,$E41,$F41,$G41,$H41,$I41,$K41,$L41,$M41,$N41)</f>
        <v>0</v>
      </c>
      <c r="U41" s="31">
        <f t="shared" ref="U41:U72" si="41">GetTimeAmount($K41,$L41,$M41,$N41,U$7,U$8)</f>
        <v>0</v>
      </c>
      <c r="V41" s="31">
        <f t="shared" ref="V41:V72" si="42">IF(E41,R41+S41+T41+U41,+T41+U41+R41)</f>
        <v>0</v>
      </c>
      <c r="W41" s="31">
        <f t="shared" si="31"/>
        <v>0</v>
      </c>
      <c r="X41" s="31">
        <f t="shared" si="11"/>
        <v>0</v>
      </c>
      <c r="Y41" s="31">
        <f t="shared" si="33"/>
        <v>0</v>
      </c>
      <c r="Z41" s="31">
        <f t="shared" si="33"/>
        <v>0</v>
      </c>
      <c r="AA41" s="31">
        <f t="shared" si="33"/>
        <v>0</v>
      </c>
      <c r="AB41" s="31">
        <f t="shared" si="33"/>
        <v>0</v>
      </c>
      <c r="AC41" s="31">
        <f t="shared" si="35"/>
        <v>0</v>
      </c>
      <c r="AD41" s="31">
        <f t="shared" ref="AD41:AD72" si="43">IF(E41,S41-Z41,IF(D41,S41,0))</f>
        <v>0</v>
      </c>
      <c r="AE41" s="31">
        <f t="shared" si="12"/>
        <v>0</v>
      </c>
      <c r="AF41" s="31">
        <f t="shared" si="36"/>
        <v>0</v>
      </c>
      <c r="AG41" s="31">
        <f t="shared" si="37"/>
        <v>0</v>
      </c>
      <c r="AH41" s="31">
        <f t="shared" si="37"/>
        <v>0</v>
      </c>
      <c r="AI41" s="31">
        <f t="shared" si="37"/>
        <v>0</v>
      </c>
      <c r="AJ41" s="31">
        <f t="shared" si="37"/>
        <v>0</v>
      </c>
      <c r="AK41" s="31">
        <f t="shared" si="37"/>
        <v>0</v>
      </c>
      <c r="AL41" s="31">
        <f t="shared" si="37"/>
        <v>0</v>
      </c>
      <c r="AM41" s="31">
        <f t="shared" si="37"/>
        <v>0</v>
      </c>
      <c r="AN41" s="31">
        <f t="shared" si="37"/>
        <v>0</v>
      </c>
      <c r="AO41" s="31">
        <f t="shared" si="37"/>
        <v>0</v>
      </c>
      <c r="AP41" s="31">
        <f t="shared" si="37"/>
        <v>0</v>
      </c>
      <c r="AQ41" s="31">
        <f t="shared" si="37"/>
        <v>0</v>
      </c>
      <c r="AR41" s="31">
        <f t="shared" si="37"/>
        <v>0</v>
      </c>
      <c r="AS41" s="31">
        <f t="shared" si="37"/>
        <v>0</v>
      </c>
      <c r="AT41" s="31">
        <f t="shared" si="37"/>
        <v>0</v>
      </c>
      <c r="AU41" s="31">
        <f t="shared" si="37"/>
        <v>0</v>
      </c>
      <c r="AW41" s="22">
        <f t="shared" si="14"/>
        <v>0</v>
      </c>
      <c r="AX41" s="22">
        <f t="shared" si="15"/>
        <v>0</v>
      </c>
      <c r="AY41" s="22">
        <f t="shared" si="16"/>
        <v>0</v>
      </c>
      <c r="AZ41" s="22">
        <f t="shared" si="17"/>
        <v>0</v>
      </c>
      <c r="BA41" s="22">
        <f t="shared" si="18"/>
        <v>0</v>
      </c>
      <c r="BB41" s="22">
        <f t="shared" si="19"/>
        <v>0</v>
      </c>
      <c r="BC41" s="22">
        <f t="shared" si="20"/>
        <v>0</v>
      </c>
      <c r="BD41" s="22">
        <f t="shared" si="21"/>
        <v>0</v>
      </c>
      <c r="BE41" s="22">
        <f t="shared" si="22"/>
        <v>0</v>
      </c>
      <c r="BF41" s="22">
        <f t="shared" si="23"/>
        <v>0</v>
      </c>
      <c r="BG41" s="22">
        <f t="shared" si="24"/>
        <v>0</v>
      </c>
      <c r="BH41" s="22">
        <f t="shared" si="25"/>
        <v>0</v>
      </c>
      <c r="BI41" s="22">
        <f t="shared" si="26"/>
        <v>0</v>
      </c>
      <c r="BJ41" s="22">
        <f t="shared" si="27"/>
        <v>0</v>
      </c>
      <c r="BK41" s="22">
        <f t="shared" si="28"/>
        <v>0</v>
      </c>
      <c r="BL41" s="22">
        <f t="shared" si="29"/>
        <v>0</v>
      </c>
      <c r="BM41" s="22" t="str">
        <f t="shared" si="30"/>
        <v>OK</v>
      </c>
    </row>
    <row r="42" spans="1:65">
      <c r="A42" s="29">
        <f>補助簿!B42</f>
        <v>41091</v>
      </c>
      <c r="B42" s="150">
        <f>命令簿!C45</f>
        <v>0</v>
      </c>
      <c r="C42" t="b">
        <f>VLOOKUP($B42,勤務形態オプション!$A$3:$D$10,C$6,FALSE)</f>
        <v>1</v>
      </c>
      <c r="D42" t="b">
        <f>VLOOKUP($B42,勤務形態オプション!$A$3:$D$10,D$6,FALSE)</f>
        <v>0</v>
      </c>
      <c r="E42" t="b">
        <f>VLOOKUP($B42,勤務形態オプション!$A$3:$D$10,E$6,FALSE)</f>
        <v>0</v>
      </c>
      <c r="F42" s="50">
        <f>補助簿!$E42</f>
        <v>0</v>
      </c>
      <c r="G42" s="50">
        <f>補助簿!$F42</f>
        <v>0</v>
      </c>
      <c r="H42" s="50">
        <f>補助簿!$C42</f>
        <v>0</v>
      </c>
      <c r="I42" s="50">
        <f>補助簿!$D42</f>
        <v>0</v>
      </c>
      <c r="J42" s="58">
        <v>1</v>
      </c>
      <c r="K42" s="50">
        <f>IF(命令簿!D43&lt;&gt;"",命令簿!D43,0)</f>
        <v>0</v>
      </c>
      <c r="L42" s="50">
        <f>IF(命令簿!G43&lt;&gt;"",命令簿!G43,IF(命令簿!F43&lt;&gt;"",命令簿!F43,0))</f>
        <v>0</v>
      </c>
      <c r="M42" s="50">
        <f>IF(命令簿!I43&lt;&gt;"",命令簿!I43,$L42)</f>
        <v>0</v>
      </c>
      <c r="N42" s="50">
        <f>IF(命令簿!I43&lt;&gt;"",命令簿!F43,L42)</f>
        <v>0</v>
      </c>
      <c r="O42" s="50">
        <f t="shared" si="10"/>
        <v>0</v>
      </c>
      <c r="P42" s="355">
        <f>SUM(O42:O44)</f>
        <v>0</v>
      </c>
      <c r="R42" s="31">
        <f t="shared" si="38"/>
        <v>0</v>
      </c>
      <c r="S42" s="31">
        <f t="shared" si="39"/>
        <v>0</v>
      </c>
      <c r="T42" s="31">
        <f t="shared" si="40"/>
        <v>0</v>
      </c>
      <c r="U42" s="31">
        <f t="shared" si="41"/>
        <v>0</v>
      </c>
      <c r="V42" s="31">
        <f t="shared" si="42"/>
        <v>0</v>
      </c>
      <c r="W42" s="31">
        <f t="shared" si="31"/>
        <v>0</v>
      </c>
      <c r="X42" s="31">
        <f t="shared" si="11"/>
        <v>0</v>
      </c>
      <c r="Y42" s="31">
        <f t="shared" si="33"/>
        <v>0</v>
      </c>
      <c r="Z42" s="31">
        <f t="shared" si="33"/>
        <v>0</v>
      </c>
      <c r="AA42" s="31">
        <f t="shared" si="33"/>
        <v>0</v>
      </c>
      <c r="AB42" s="31">
        <f t="shared" si="33"/>
        <v>0</v>
      </c>
      <c r="AC42" s="31">
        <f t="shared" si="35"/>
        <v>0</v>
      </c>
      <c r="AD42" s="31">
        <f t="shared" si="43"/>
        <v>0</v>
      </c>
      <c r="AE42" s="31">
        <f t="shared" si="12"/>
        <v>0</v>
      </c>
      <c r="AF42" s="31">
        <f t="shared" si="36"/>
        <v>0</v>
      </c>
      <c r="AG42" s="31">
        <f t="shared" si="37"/>
        <v>0</v>
      </c>
      <c r="AH42" s="31">
        <f t="shared" si="37"/>
        <v>0</v>
      </c>
      <c r="AI42" s="31">
        <f t="shared" si="37"/>
        <v>0</v>
      </c>
      <c r="AJ42" s="31">
        <f t="shared" si="37"/>
        <v>0</v>
      </c>
      <c r="AK42" s="31">
        <f t="shared" si="37"/>
        <v>0</v>
      </c>
      <c r="AL42" s="31">
        <f t="shared" si="37"/>
        <v>0</v>
      </c>
      <c r="AM42" s="31">
        <f t="shared" si="37"/>
        <v>0</v>
      </c>
      <c r="AN42" s="31">
        <f t="shared" si="37"/>
        <v>0</v>
      </c>
      <c r="AO42" s="31">
        <f t="shared" si="37"/>
        <v>0</v>
      </c>
      <c r="AP42" s="31">
        <f t="shared" si="37"/>
        <v>0</v>
      </c>
      <c r="AQ42" s="31">
        <f t="shared" si="37"/>
        <v>0</v>
      </c>
      <c r="AR42" s="31">
        <f t="shared" si="37"/>
        <v>0</v>
      </c>
      <c r="AS42" s="31">
        <f t="shared" si="37"/>
        <v>0</v>
      </c>
      <c r="AT42" s="31">
        <f t="shared" si="37"/>
        <v>0</v>
      </c>
      <c r="AU42" s="31">
        <f t="shared" si="37"/>
        <v>0</v>
      </c>
      <c r="AW42" s="22">
        <f t="shared" si="14"/>
        <v>0</v>
      </c>
      <c r="AX42" s="22">
        <f t="shared" si="15"/>
        <v>0</v>
      </c>
      <c r="AY42" s="22">
        <f t="shared" si="16"/>
        <v>0</v>
      </c>
      <c r="AZ42" s="22">
        <f t="shared" si="17"/>
        <v>0</v>
      </c>
      <c r="BA42" s="22">
        <f t="shared" si="18"/>
        <v>0</v>
      </c>
      <c r="BB42" s="22">
        <f t="shared" si="19"/>
        <v>0</v>
      </c>
      <c r="BC42" s="22">
        <f t="shared" si="20"/>
        <v>0</v>
      </c>
      <c r="BD42" s="22">
        <f t="shared" si="21"/>
        <v>0</v>
      </c>
      <c r="BE42" s="22">
        <f t="shared" si="22"/>
        <v>0</v>
      </c>
      <c r="BF42" s="22">
        <f t="shared" si="23"/>
        <v>0</v>
      </c>
      <c r="BG42" s="22">
        <f t="shared" si="24"/>
        <v>0</v>
      </c>
      <c r="BH42" s="22">
        <f t="shared" si="25"/>
        <v>0</v>
      </c>
      <c r="BI42" s="22">
        <f t="shared" si="26"/>
        <v>0</v>
      </c>
      <c r="BJ42" s="22">
        <f t="shared" si="27"/>
        <v>0</v>
      </c>
      <c r="BK42" s="22">
        <f t="shared" si="28"/>
        <v>0</v>
      </c>
      <c r="BL42" s="22">
        <f t="shared" si="29"/>
        <v>0</v>
      </c>
      <c r="BM42" s="22" t="str">
        <f t="shared" si="30"/>
        <v>OK</v>
      </c>
    </row>
    <row r="43" spans="1:65">
      <c r="A43" s="29">
        <f>A42</f>
        <v>41091</v>
      </c>
      <c r="B43">
        <f>B42</f>
        <v>0</v>
      </c>
      <c r="C43" t="b">
        <f>VLOOKUP($B43,勤務形態オプション!$A$3:$D$10,C$6,FALSE)</f>
        <v>1</v>
      </c>
      <c r="D43" t="b">
        <f>VLOOKUP($B43,勤務形態オプション!$A$3:$D$10,D$6,FALSE)</f>
        <v>0</v>
      </c>
      <c r="E43" t="b">
        <f>VLOOKUP($B43,勤務形態オプション!$A$3:$D$10,E$6,FALSE)</f>
        <v>0</v>
      </c>
      <c r="F43" s="50">
        <f>F42</f>
        <v>0</v>
      </c>
      <c r="G43" s="50">
        <f>G42</f>
        <v>0</v>
      </c>
      <c r="H43" s="50">
        <f>H42</f>
        <v>0</v>
      </c>
      <c r="I43" s="50">
        <f>I42</f>
        <v>0</v>
      </c>
      <c r="J43" s="58">
        <v>2</v>
      </c>
      <c r="K43" s="50">
        <f>IF(命令簿!D44&lt;&gt;"",命令簿!D44,0)</f>
        <v>0</v>
      </c>
      <c r="L43" s="50">
        <f>IF(命令簿!G44&lt;&gt;"",命令簿!G44,IF(命令簿!F44&lt;&gt;"",命令簿!F44,0))</f>
        <v>0</v>
      </c>
      <c r="M43" s="50">
        <f>IF(命令簿!I44&lt;&gt;"",命令簿!I44,$L43)</f>
        <v>0</v>
      </c>
      <c r="N43" s="50">
        <f>IF(命令簿!I44&lt;&gt;"",命令簿!F44,L43)</f>
        <v>0</v>
      </c>
      <c r="O43" s="50">
        <f t="shared" si="10"/>
        <v>0</v>
      </c>
      <c r="P43" s="355"/>
      <c r="R43" s="31">
        <f t="shared" si="38"/>
        <v>0</v>
      </c>
      <c r="S43" s="31">
        <f t="shared" si="39"/>
        <v>0</v>
      </c>
      <c r="T43" s="31">
        <f t="shared" si="40"/>
        <v>0</v>
      </c>
      <c r="U43" s="31">
        <f t="shared" si="41"/>
        <v>0</v>
      </c>
      <c r="V43" s="31">
        <f t="shared" si="42"/>
        <v>0</v>
      </c>
      <c r="W43" s="31">
        <f t="shared" si="31"/>
        <v>0</v>
      </c>
      <c r="X43" s="31">
        <f t="shared" si="11"/>
        <v>0</v>
      </c>
      <c r="Y43" s="31">
        <f t="shared" si="33"/>
        <v>0</v>
      </c>
      <c r="Z43" s="31">
        <f t="shared" si="33"/>
        <v>0</v>
      </c>
      <c r="AA43" s="31">
        <f t="shared" si="33"/>
        <v>0</v>
      </c>
      <c r="AB43" s="31">
        <f t="shared" si="33"/>
        <v>0</v>
      </c>
      <c r="AC43" s="31">
        <f t="shared" si="35"/>
        <v>0</v>
      </c>
      <c r="AD43" s="31">
        <f t="shared" si="43"/>
        <v>0</v>
      </c>
      <c r="AE43" s="31">
        <f t="shared" si="12"/>
        <v>0</v>
      </c>
      <c r="AF43" s="31">
        <f t="shared" si="36"/>
        <v>0</v>
      </c>
      <c r="AG43" s="31">
        <f t="shared" si="37"/>
        <v>0</v>
      </c>
      <c r="AH43" s="31">
        <f t="shared" si="37"/>
        <v>0</v>
      </c>
      <c r="AI43" s="31">
        <f t="shared" si="37"/>
        <v>0</v>
      </c>
      <c r="AJ43" s="31">
        <f t="shared" si="37"/>
        <v>0</v>
      </c>
      <c r="AK43" s="31">
        <f t="shared" si="37"/>
        <v>0</v>
      </c>
      <c r="AL43" s="31">
        <f t="shared" si="37"/>
        <v>0</v>
      </c>
      <c r="AM43" s="31">
        <f t="shared" si="37"/>
        <v>0</v>
      </c>
      <c r="AN43" s="31">
        <f t="shared" si="37"/>
        <v>0</v>
      </c>
      <c r="AO43" s="31">
        <f t="shared" si="37"/>
        <v>0</v>
      </c>
      <c r="AP43" s="31">
        <f t="shared" si="37"/>
        <v>0</v>
      </c>
      <c r="AQ43" s="31">
        <f t="shared" si="37"/>
        <v>0</v>
      </c>
      <c r="AR43" s="31">
        <f t="shared" si="37"/>
        <v>0</v>
      </c>
      <c r="AS43" s="31">
        <f t="shared" si="37"/>
        <v>0</v>
      </c>
      <c r="AT43" s="31">
        <f t="shared" si="37"/>
        <v>0</v>
      </c>
      <c r="AU43" s="31">
        <f t="shared" si="37"/>
        <v>0</v>
      </c>
      <c r="AW43" s="22">
        <f t="shared" si="14"/>
        <v>0</v>
      </c>
      <c r="AX43" s="22">
        <f t="shared" si="15"/>
        <v>0</v>
      </c>
      <c r="AY43" s="22">
        <f t="shared" si="16"/>
        <v>0</v>
      </c>
      <c r="AZ43" s="22">
        <f t="shared" si="17"/>
        <v>0</v>
      </c>
      <c r="BA43" s="22">
        <f t="shared" si="18"/>
        <v>0</v>
      </c>
      <c r="BB43" s="22">
        <f t="shared" si="19"/>
        <v>0</v>
      </c>
      <c r="BC43" s="22">
        <f t="shared" si="20"/>
        <v>0</v>
      </c>
      <c r="BD43" s="22">
        <f t="shared" si="21"/>
        <v>0</v>
      </c>
      <c r="BE43" s="22">
        <f t="shared" si="22"/>
        <v>0</v>
      </c>
      <c r="BF43" s="22">
        <f t="shared" si="23"/>
        <v>0</v>
      </c>
      <c r="BG43" s="22">
        <f t="shared" si="24"/>
        <v>0</v>
      </c>
      <c r="BH43" s="22">
        <f t="shared" si="25"/>
        <v>0</v>
      </c>
      <c r="BI43" s="22">
        <f t="shared" si="26"/>
        <v>0</v>
      </c>
      <c r="BJ43" s="22">
        <f t="shared" si="27"/>
        <v>0</v>
      </c>
      <c r="BK43" s="22">
        <f t="shared" si="28"/>
        <v>0</v>
      </c>
      <c r="BL43" s="22">
        <f t="shared" si="29"/>
        <v>0</v>
      </c>
      <c r="BM43" s="22" t="str">
        <f t="shared" si="30"/>
        <v>OK</v>
      </c>
    </row>
    <row r="44" spans="1:65">
      <c r="A44" s="29">
        <f>A43</f>
        <v>41091</v>
      </c>
      <c r="B44">
        <f>B43</f>
        <v>0</v>
      </c>
      <c r="C44" t="b">
        <f>VLOOKUP($B44,勤務形態オプション!$A$3:$D$10,C$6,FALSE)</f>
        <v>1</v>
      </c>
      <c r="D44" t="b">
        <f>VLOOKUP($B44,勤務形態オプション!$A$3:$D$10,D$6,FALSE)</f>
        <v>0</v>
      </c>
      <c r="E44" t="b">
        <f>VLOOKUP($B44,勤務形態オプション!$A$3:$D$10,E$6,FALSE)</f>
        <v>0</v>
      </c>
      <c r="F44" s="50">
        <f>F42</f>
        <v>0</v>
      </c>
      <c r="G44" s="50">
        <f>G42</f>
        <v>0</v>
      </c>
      <c r="H44" s="50">
        <f>H42</f>
        <v>0</v>
      </c>
      <c r="I44" s="50">
        <f>I42</f>
        <v>0</v>
      </c>
      <c r="J44" s="58">
        <v>3</v>
      </c>
      <c r="K44" s="50">
        <f>IF(命令簿!D45&lt;&gt;"",命令簿!D45,0)</f>
        <v>0</v>
      </c>
      <c r="L44" s="50">
        <f>IF(命令簿!G45&lt;&gt;"",命令簿!G45,IF(命令簿!F45&lt;&gt;"",命令簿!F45,0))</f>
        <v>0</v>
      </c>
      <c r="M44" s="50">
        <f>IF(命令簿!I45&lt;&gt;"",命令簿!I45,$L44)</f>
        <v>0</v>
      </c>
      <c r="N44" s="50">
        <f>IF(命令簿!I45&lt;&gt;"",命令簿!F45,L44)</f>
        <v>0</v>
      </c>
      <c r="O44" s="50">
        <f t="shared" si="10"/>
        <v>0</v>
      </c>
      <c r="P44" s="355"/>
      <c r="R44" s="31">
        <f t="shared" si="38"/>
        <v>0</v>
      </c>
      <c r="S44" s="31">
        <f t="shared" si="39"/>
        <v>0</v>
      </c>
      <c r="T44" s="31">
        <f t="shared" si="40"/>
        <v>0</v>
      </c>
      <c r="U44" s="31">
        <f t="shared" si="41"/>
        <v>0</v>
      </c>
      <c r="V44" s="31">
        <f t="shared" si="42"/>
        <v>0</v>
      </c>
      <c r="W44" s="31">
        <f t="shared" si="31"/>
        <v>0</v>
      </c>
      <c r="X44" s="31">
        <f t="shared" si="11"/>
        <v>0</v>
      </c>
      <c r="Y44" s="31">
        <f t="shared" si="33"/>
        <v>0</v>
      </c>
      <c r="Z44" s="31">
        <f t="shared" si="33"/>
        <v>0</v>
      </c>
      <c r="AA44" s="31">
        <f t="shared" si="33"/>
        <v>0</v>
      </c>
      <c r="AB44" s="31">
        <f t="shared" si="33"/>
        <v>0</v>
      </c>
      <c r="AC44" s="31">
        <f t="shared" si="35"/>
        <v>0</v>
      </c>
      <c r="AD44" s="31">
        <f t="shared" si="43"/>
        <v>0</v>
      </c>
      <c r="AE44" s="31">
        <f t="shared" si="12"/>
        <v>0</v>
      </c>
      <c r="AF44" s="31">
        <f t="shared" si="36"/>
        <v>0</v>
      </c>
      <c r="AG44" s="31">
        <f t="shared" si="37"/>
        <v>0</v>
      </c>
      <c r="AH44" s="31">
        <f t="shared" si="37"/>
        <v>0</v>
      </c>
      <c r="AI44" s="31">
        <f t="shared" si="37"/>
        <v>0</v>
      </c>
      <c r="AJ44" s="31">
        <f t="shared" si="37"/>
        <v>0</v>
      </c>
      <c r="AK44" s="31">
        <f t="shared" si="37"/>
        <v>0</v>
      </c>
      <c r="AL44" s="31">
        <f t="shared" si="37"/>
        <v>0</v>
      </c>
      <c r="AM44" s="31">
        <f t="shared" si="37"/>
        <v>0</v>
      </c>
      <c r="AN44" s="31">
        <f t="shared" si="37"/>
        <v>0</v>
      </c>
      <c r="AO44" s="31">
        <f t="shared" si="37"/>
        <v>0</v>
      </c>
      <c r="AP44" s="31">
        <f t="shared" si="37"/>
        <v>0</v>
      </c>
      <c r="AQ44" s="31">
        <f t="shared" si="37"/>
        <v>0</v>
      </c>
      <c r="AR44" s="31">
        <f t="shared" si="37"/>
        <v>0</v>
      </c>
      <c r="AS44" s="31">
        <f t="shared" si="37"/>
        <v>0</v>
      </c>
      <c r="AT44" s="31">
        <f t="shared" si="37"/>
        <v>0</v>
      </c>
      <c r="AU44" s="31">
        <f t="shared" si="37"/>
        <v>0</v>
      </c>
      <c r="AW44" s="22">
        <f t="shared" si="14"/>
        <v>0</v>
      </c>
      <c r="AX44" s="22">
        <f t="shared" si="15"/>
        <v>0</v>
      </c>
      <c r="AY44" s="22">
        <f t="shared" si="16"/>
        <v>0</v>
      </c>
      <c r="AZ44" s="22">
        <f t="shared" si="17"/>
        <v>0</v>
      </c>
      <c r="BA44" s="22">
        <f t="shared" si="18"/>
        <v>0</v>
      </c>
      <c r="BB44" s="22">
        <f t="shared" si="19"/>
        <v>0</v>
      </c>
      <c r="BC44" s="22">
        <f t="shared" si="20"/>
        <v>0</v>
      </c>
      <c r="BD44" s="22">
        <f t="shared" si="21"/>
        <v>0</v>
      </c>
      <c r="BE44" s="22">
        <f t="shared" si="22"/>
        <v>0</v>
      </c>
      <c r="BF44" s="22">
        <f t="shared" si="23"/>
        <v>0</v>
      </c>
      <c r="BG44" s="22">
        <f t="shared" si="24"/>
        <v>0</v>
      </c>
      <c r="BH44" s="22">
        <f t="shared" si="25"/>
        <v>0</v>
      </c>
      <c r="BI44" s="22">
        <f t="shared" si="26"/>
        <v>0</v>
      </c>
      <c r="BJ44" s="22">
        <f t="shared" si="27"/>
        <v>0</v>
      </c>
      <c r="BK44" s="22">
        <f t="shared" si="28"/>
        <v>0</v>
      </c>
      <c r="BL44" s="22">
        <f t="shared" si="29"/>
        <v>0</v>
      </c>
      <c r="BM44" s="22" t="str">
        <f t="shared" si="30"/>
        <v>OK</v>
      </c>
    </row>
    <row r="45" spans="1:65">
      <c r="A45" s="29">
        <f>補助簿!B45</f>
        <v>41092</v>
      </c>
      <c r="B45" s="151">
        <f>命令簿!C48</f>
        <v>0</v>
      </c>
      <c r="C45" t="b">
        <f>VLOOKUP($B45,勤務形態オプション!$A$3:$D$10,C$6,FALSE)</f>
        <v>1</v>
      </c>
      <c r="D45" t="b">
        <f>VLOOKUP($B45,勤務形態オプション!$A$3:$D$10,D$6,FALSE)</f>
        <v>0</v>
      </c>
      <c r="E45" t="b">
        <f>VLOOKUP($B45,勤務形態オプション!$A$3:$D$10,E$6,FALSE)</f>
        <v>0</v>
      </c>
      <c r="F45" s="50">
        <f>補助簿!$E45</f>
        <v>0</v>
      </c>
      <c r="G45" s="50">
        <f>補助簿!$F45</f>
        <v>0</v>
      </c>
      <c r="H45" s="50">
        <f>補助簿!$C45</f>
        <v>0</v>
      </c>
      <c r="I45" s="50">
        <f>補助簿!$D45</f>
        <v>0</v>
      </c>
      <c r="J45" s="58">
        <v>1</v>
      </c>
      <c r="K45" s="50">
        <f>IF(命令簿!D46&lt;&gt;"",命令簿!D46,0)</f>
        <v>0</v>
      </c>
      <c r="L45" s="50">
        <f>IF(命令簿!G46&lt;&gt;"",命令簿!G46,IF(命令簿!F46&lt;&gt;"",命令簿!F46,0))</f>
        <v>0</v>
      </c>
      <c r="M45" s="50">
        <f>IF(命令簿!I46&lt;&gt;"",命令簿!I46,$L45)</f>
        <v>0</v>
      </c>
      <c r="N45" s="50">
        <f>IF(命令簿!I46&lt;&gt;"",命令簿!F46,L45)</f>
        <v>0</v>
      </c>
      <c r="O45" s="50">
        <f t="shared" si="10"/>
        <v>0</v>
      </c>
      <c r="P45" s="355">
        <f>SUM(O45:O47)</f>
        <v>0</v>
      </c>
      <c r="R45" s="31">
        <f t="shared" si="38"/>
        <v>0</v>
      </c>
      <c r="S45" s="31">
        <f t="shared" si="39"/>
        <v>0</v>
      </c>
      <c r="T45" s="31">
        <f t="shared" si="40"/>
        <v>0</v>
      </c>
      <c r="U45" s="31">
        <f t="shared" si="41"/>
        <v>0</v>
      </c>
      <c r="V45" s="31">
        <f t="shared" si="42"/>
        <v>0</v>
      </c>
      <c r="W45" s="31">
        <f t="shared" si="31"/>
        <v>0</v>
      </c>
      <c r="X45" s="31">
        <f t="shared" si="11"/>
        <v>0</v>
      </c>
      <c r="Y45" s="31">
        <f t="shared" si="33"/>
        <v>0</v>
      </c>
      <c r="Z45" s="31">
        <f t="shared" si="33"/>
        <v>0</v>
      </c>
      <c r="AA45" s="31">
        <f t="shared" si="33"/>
        <v>0</v>
      </c>
      <c r="AB45" s="31">
        <f t="shared" si="33"/>
        <v>0</v>
      </c>
      <c r="AC45" s="31">
        <f t="shared" si="35"/>
        <v>0</v>
      </c>
      <c r="AD45" s="31">
        <f t="shared" si="43"/>
        <v>0</v>
      </c>
      <c r="AE45" s="31">
        <f t="shared" si="12"/>
        <v>0</v>
      </c>
      <c r="AF45" s="31">
        <f t="shared" si="36"/>
        <v>0</v>
      </c>
      <c r="AG45" s="31">
        <f t="shared" si="37"/>
        <v>0</v>
      </c>
      <c r="AH45" s="31">
        <f t="shared" si="37"/>
        <v>0</v>
      </c>
      <c r="AI45" s="31">
        <f t="shared" si="37"/>
        <v>0</v>
      </c>
      <c r="AJ45" s="31">
        <f t="shared" si="37"/>
        <v>0</v>
      </c>
      <c r="AK45" s="31">
        <f t="shared" si="37"/>
        <v>0</v>
      </c>
      <c r="AL45" s="31">
        <f t="shared" si="37"/>
        <v>0</v>
      </c>
      <c r="AM45" s="31">
        <f t="shared" si="37"/>
        <v>0</v>
      </c>
      <c r="AN45" s="31">
        <f t="shared" si="37"/>
        <v>0</v>
      </c>
      <c r="AO45" s="31">
        <f t="shared" si="37"/>
        <v>0</v>
      </c>
      <c r="AP45" s="31">
        <f t="shared" si="37"/>
        <v>0</v>
      </c>
      <c r="AQ45" s="31">
        <f t="shared" si="37"/>
        <v>0</v>
      </c>
      <c r="AR45" s="31">
        <f t="shared" si="37"/>
        <v>0</v>
      </c>
      <c r="AS45" s="31">
        <f t="shared" si="37"/>
        <v>0</v>
      </c>
      <c r="AT45" s="31">
        <f t="shared" si="37"/>
        <v>0</v>
      </c>
      <c r="AU45" s="31">
        <f t="shared" si="37"/>
        <v>0</v>
      </c>
      <c r="AW45" s="22">
        <f t="shared" si="14"/>
        <v>0</v>
      </c>
      <c r="AX45" s="22">
        <f t="shared" si="15"/>
        <v>0</v>
      </c>
      <c r="AY45" s="22">
        <f t="shared" si="16"/>
        <v>0</v>
      </c>
      <c r="AZ45" s="22">
        <f t="shared" si="17"/>
        <v>0</v>
      </c>
      <c r="BA45" s="22">
        <f t="shared" si="18"/>
        <v>0</v>
      </c>
      <c r="BB45" s="22">
        <f t="shared" si="19"/>
        <v>0</v>
      </c>
      <c r="BC45" s="22">
        <f t="shared" si="20"/>
        <v>0</v>
      </c>
      <c r="BD45" s="22">
        <f t="shared" si="21"/>
        <v>0</v>
      </c>
      <c r="BE45" s="22">
        <f t="shared" si="22"/>
        <v>0</v>
      </c>
      <c r="BF45" s="22">
        <f t="shared" si="23"/>
        <v>0</v>
      </c>
      <c r="BG45" s="22">
        <f t="shared" si="24"/>
        <v>0</v>
      </c>
      <c r="BH45" s="22">
        <f t="shared" si="25"/>
        <v>0</v>
      </c>
      <c r="BI45" s="22">
        <f t="shared" si="26"/>
        <v>0</v>
      </c>
      <c r="BJ45" s="22">
        <f t="shared" si="27"/>
        <v>0</v>
      </c>
      <c r="BK45" s="22">
        <f t="shared" si="28"/>
        <v>0</v>
      </c>
      <c r="BL45" s="22">
        <f t="shared" si="29"/>
        <v>0</v>
      </c>
      <c r="BM45" s="22" t="str">
        <f t="shared" si="30"/>
        <v>OK</v>
      </c>
    </row>
    <row r="46" spans="1:65">
      <c r="A46" s="29">
        <f>A45</f>
        <v>41092</v>
      </c>
      <c r="B46">
        <f>B45</f>
        <v>0</v>
      </c>
      <c r="C46" t="b">
        <f>VLOOKUP($B46,勤務形態オプション!$A$3:$D$10,C$6,FALSE)</f>
        <v>1</v>
      </c>
      <c r="D46" t="b">
        <f>VLOOKUP($B46,勤務形態オプション!$A$3:$D$10,D$6,FALSE)</f>
        <v>0</v>
      </c>
      <c r="E46" t="b">
        <f>VLOOKUP($B46,勤務形態オプション!$A$3:$D$10,E$6,FALSE)</f>
        <v>0</v>
      </c>
      <c r="F46" s="50">
        <f>F45</f>
        <v>0</v>
      </c>
      <c r="G46" s="50">
        <f>G45</f>
        <v>0</v>
      </c>
      <c r="H46" s="50">
        <f>H45</f>
        <v>0</v>
      </c>
      <c r="I46" s="50">
        <f>I45</f>
        <v>0</v>
      </c>
      <c r="J46" s="58">
        <v>2</v>
      </c>
      <c r="K46" s="50">
        <f>IF(命令簿!D47&lt;&gt;"",命令簿!D47,0)</f>
        <v>0</v>
      </c>
      <c r="L46" s="50">
        <f>IF(命令簿!G47&lt;&gt;"",命令簿!G47,IF(命令簿!F47&lt;&gt;"",命令簿!F47,0))</f>
        <v>0</v>
      </c>
      <c r="M46" s="50">
        <f>IF(命令簿!I47&lt;&gt;"",命令簿!I47,$L46)</f>
        <v>0</v>
      </c>
      <c r="N46" s="50">
        <f>IF(命令簿!I47&lt;&gt;"",命令簿!F47,L46)</f>
        <v>0</v>
      </c>
      <c r="O46" s="50">
        <f t="shared" si="10"/>
        <v>0</v>
      </c>
      <c r="P46" s="355"/>
      <c r="R46" s="31">
        <f t="shared" si="38"/>
        <v>0</v>
      </c>
      <c r="S46" s="31">
        <f t="shared" si="39"/>
        <v>0</v>
      </c>
      <c r="T46" s="31">
        <f t="shared" si="40"/>
        <v>0</v>
      </c>
      <c r="U46" s="31">
        <f t="shared" si="41"/>
        <v>0</v>
      </c>
      <c r="V46" s="31">
        <f t="shared" si="42"/>
        <v>0</v>
      </c>
      <c r="W46" s="31">
        <f t="shared" si="31"/>
        <v>0</v>
      </c>
      <c r="X46" s="31">
        <f t="shared" si="11"/>
        <v>0</v>
      </c>
      <c r="Y46" s="31">
        <f t="shared" si="33"/>
        <v>0</v>
      </c>
      <c r="Z46" s="31">
        <f t="shared" si="33"/>
        <v>0</v>
      </c>
      <c r="AA46" s="31">
        <f t="shared" si="33"/>
        <v>0</v>
      </c>
      <c r="AB46" s="31">
        <f t="shared" si="33"/>
        <v>0</v>
      </c>
      <c r="AC46" s="31">
        <f t="shared" si="35"/>
        <v>0</v>
      </c>
      <c r="AD46" s="31">
        <f t="shared" si="43"/>
        <v>0</v>
      </c>
      <c r="AE46" s="31">
        <f t="shared" si="12"/>
        <v>0</v>
      </c>
      <c r="AF46" s="31">
        <f t="shared" si="36"/>
        <v>0</v>
      </c>
      <c r="AG46" s="31">
        <f t="shared" si="37"/>
        <v>0</v>
      </c>
      <c r="AH46" s="31">
        <f t="shared" si="37"/>
        <v>0</v>
      </c>
      <c r="AI46" s="31">
        <f t="shared" si="37"/>
        <v>0</v>
      </c>
      <c r="AJ46" s="31">
        <f t="shared" si="37"/>
        <v>0</v>
      </c>
      <c r="AK46" s="31">
        <f t="shared" si="37"/>
        <v>0</v>
      </c>
      <c r="AL46" s="31">
        <f t="shared" si="37"/>
        <v>0</v>
      </c>
      <c r="AM46" s="31">
        <f t="shared" si="37"/>
        <v>0</v>
      </c>
      <c r="AN46" s="31">
        <f t="shared" si="37"/>
        <v>0</v>
      </c>
      <c r="AO46" s="31">
        <f t="shared" si="37"/>
        <v>0</v>
      </c>
      <c r="AP46" s="31">
        <f t="shared" si="37"/>
        <v>0</v>
      </c>
      <c r="AQ46" s="31">
        <f t="shared" si="37"/>
        <v>0</v>
      </c>
      <c r="AR46" s="31">
        <f t="shared" si="37"/>
        <v>0</v>
      </c>
      <c r="AS46" s="31">
        <f t="shared" si="37"/>
        <v>0</v>
      </c>
      <c r="AT46" s="31">
        <f t="shared" si="37"/>
        <v>0</v>
      </c>
      <c r="AU46" s="31">
        <f t="shared" si="37"/>
        <v>0</v>
      </c>
      <c r="AW46" s="22">
        <f t="shared" si="14"/>
        <v>0</v>
      </c>
      <c r="AX46" s="22">
        <f t="shared" si="15"/>
        <v>0</v>
      </c>
      <c r="AY46" s="22">
        <f t="shared" si="16"/>
        <v>0</v>
      </c>
      <c r="AZ46" s="22">
        <f t="shared" si="17"/>
        <v>0</v>
      </c>
      <c r="BA46" s="22">
        <f t="shared" si="18"/>
        <v>0</v>
      </c>
      <c r="BB46" s="22">
        <f t="shared" si="19"/>
        <v>0</v>
      </c>
      <c r="BC46" s="22">
        <f t="shared" si="20"/>
        <v>0</v>
      </c>
      <c r="BD46" s="22">
        <f t="shared" si="21"/>
        <v>0</v>
      </c>
      <c r="BE46" s="22">
        <f t="shared" si="22"/>
        <v>0</v>
      </c>
      <c r="BF46" s="22">
        <f t="shared" si="23"/>
        <v>0</v>
      </c>
      <c r="BG46" s="22">
        <f t="shared" si="24"/>
        <v>0</v>
      </c>
      <c r="BH46" s="22">
        <f t="shared" si="25"/>
        <v>0</v>
      </c>
      <c r="BI46" s="22">
        <f t="shared" si="26"/>
        <v>0</v>
      </c>
      <c r="BJ46" s="22">
        <f t="shared" si="27"/>
        <v>0</v>
      </c>
      <c r="BK46" s="22">
        <f t="shared" si="28"/>
        <v>0</v>
      </c>
      <c r="BL46" s="22">
        <f t="shared" si="29"/>
        <v>0</v>
      </c>
      <c r="BM46" s="22" t="str">
        <f t="shared" si="30"/>
        <v>OK</v>
      </c>
    </row>
    <row r="47" spans="1:65">
      <c r="A47" s="29">
        <f>A46</f>
        <v>41092</v>
      </c>
      <c r="B47">
        <f>B46</f>
        <v>0</v>
      </c>
      <c r="C47" t="b">
        <f>VLOOKUP($B47,勤務形態オプション!$A$3:$D$10,C$6,FALSE)</f>
        <v>1</v>
      </c>
      <c r="D47" t="b">
        <f>VLOOKUP($B47,勤務形態オプション!$A$3:$D$10,D$6,FALSE)</f>
        <v>0</v>
      </c>
      <c r="E47" t="b">
        <f>VLOOKUP($B47,勤務形態オプション!$A$3:$D$10,E$6,FALSE)</f>
        <v>0</v>
      </c>
      <c r="F47" s="50">
        <f>F45</f>
        <v>0</v>
      </c>
      <c r="G47" s="50">
        <f>G45</f>
        <v>0</v>
      </c>
      <c r="H47" s="50">
        <f>H45</f>
        <v>0</v>
      </c>
      <c r="I47" s="50">
        <f>I45</f>
        <v>0</v>
      </c>
      <c r="J47" s="58">
        <v>3</v>
      </c>
      <c r="K47" s="50">
        <f>IF(命令簿!D48&lt;&gt;"",命令簿!D48,0)</f>
        <v>0</v>
      </c>
      <c r="L47" s="50">
        <f>IF(命令簿!G48&lt;&gt;"",命令簿!G48,IF(命令簿!F48&lt;&gt;"",命令簿!F48,0))</f>
        <v>0</v>
      </c>
      <c r="M47" s="50">
        <f>IF(命令簿!I48&lt;&gt;"",命令簿!I48,$L47)</f>
        <v>0</v>
      </c>
      <c r="N47" s="50">
        <f>IF(命令簿!I48&lt;&gt;"",命令簿!F48,L47)</f>
        <v>0</v>
      </c>
      <c r="O47" s="50">
        <f t="shared" si="10"/>
        <v>0</v>
      </c>
      <c r="P47" s="355"/>
      <c r="R47" s="31">
        <f t="shared" si="38"/>
        <v>0</v>
      </c>
      <c r="S47" s="31">
        <f t="shared" si="39"/>
        <v>0</v>
      </c>
      <c r="T47" s="31">
        <f t="shared" si="40"/>
        <v>0</v>
      </c>
      <c r="U47" s="31">
        <f t="shared" si="41"/>
        <v>0</v>
      </c>
      <c r="V47" s="31">
        <f t="shared" si="42"/>
        <v>0</v>
      </c>
      <c r="W47" s="31">
        <f t="shared" si="31"/>
        <v>0</v>
      </c>
      <c r="X47" s="31">
        <f t="shared" si="11"/>
        <v>0</v>
      </c>
      <c r="Y47" s="31">
        <f t="shared" si="33"/>
        <v>0</v>
      </c>
      <c r="Z47" s="31">
        <f t="shared" si="33"/>
        <v>0</v>
      </c>
      <c r="AA47" s="31">
        <f t="shared" si="33"/>
        <v>0</v>
      </c>
      <c r="AB47" s="31">
        <f t="shared" si="33"/>
        <v>0</v>
      </c>
      <c r="AC47" s="31">
        <f t="shared" si="35"/>
        <v>0</v>
      </c>
      <c r="AD47" s="31">
        <f t="shared" si="43"/>
        <v>0</v>
      </c>
      <c r="AE47" s="31">
        <f t="shared" si="12"/>
        <v>0</v>
      </c>
      <c r="AF47" s="31">
        <f t="shared" si="36"/>
        <v>0</v>
      </c>
      <c r="AG47" s="31">
        <f t="shared" si="37"/>
        <v>0</v>
      </c>
      <c r="AH47" s="31">
        <f t="shared" si="37"/>
        <v>0</v>
      </c>
      <c r="AI47" s="31">
        <f t="shared" si="37"/>
        <v>0</v>
      </c>
      <c r="AJ47" s="31">
        <f t="shared" si="37"/>
        <v>0</v>
      </c>
      <c r="AK47" s="31">
        <f t="shared" si="37"/>
        <v>0</v>
      </c>
      <c r="AL47" s="31">
        <f t="shared" si="37"/>
        <v>0</v>
      </c>
      <c r="AM47" s="31">
        <f t="shared" si="37"/>
        <v>0</v>
      </c>
      <c r="AN47" s="31">
        <f t="shared" si="37"/>
        <v>0</v>
      </c>
      <c r="AO47" s="31">
        <f t="shared" si="37"/>
        <v>0</v>
      </c>
      <c r="AP47" s="31">
        <f t="shared" si="37"/>
        <v>0</v>
      </c>
      <c r="AQ47" s="31">
        <f t="shared" si="37"/>
        <v>0</v>
      </c>
      <c r="AR47" s="31">
        <f t="shared" si="37"/>
        <v>0</v>
      </c>
      <c r="AS47" s="31">
        <f t="shared" si="37"/>
        <v>0</v>
      </c>
      <c r="AT47" s="31">
        <f t="shared" si="37"/>
        <v>0</v>
      </c>
      <c r="AU47" s="31">
        <f t="shared" si="37"/>
        <v>0</v>
      </c>
      <c r="AW47" s="22">
        <f t="shared" si="14"/>
        <v>0</v>
      </c>
      <c r="AX47" s="22">
        <f t="shared" si="15"/>
        <v>0</v>
      </c>
      <c r="AY47" s="22">
        <f t="shared" si="16"/>
        <v>0</v>
      </c>
      <c r="AZ47" s="22">
        <f t="shared" si="17"/>
        <v>0</v>
      </c>
      <c r="BA47" s="22">
        <f t="shared" si="18"/>
        <v>0</v>
      </c>
      <c r="BB47" s="22">
        <f t="shared" si="19"/>
        <v>0</v>
      </c>
      <c r="BC47" s="22">
        <f t="shared" si="20"/>
        <v>0</v>
      </c>
      <c r="BD47" s="22">
        <f t="shared" si="21"/>
        <v>0</v>
      </c>
      <c r="BE47" s="22">
        <f t="shared" si="22"/>
        <v>0</v>
      </c>
      <c r="BF47" s="22">
        <f t="shared" si="23"/>
        <v>0</v>
      </c>
      <c r="BG47" s="22">
        <f t="shared" si="24"/>
        <v>0</v>
      </c>
      <c r="BH47" s="22">
        <f t="shared" si="25"/>
        <v>0</v>
      </c>
      <c r="BI47" s="22">
        <f t="shared" si="26"/>
        <v>0</v>
      </c>
      <c r="BJ47" s="22">
        <f t="shared" si="27"/>
        <v>0</v>
      </c>
      <c r="BK47" s="22">
        <f t="shared" si="28"/>
        <v>0</v>
      </c>
      <c r="BL47" s="22">
        <f t="shared" si="29"/>
        <v>0</v>
      </c>
      <c r="BM47" s="22" t="str">
        <f t="shared" si="30"/>
        <v>OK</v>
      </c>
    </row>
    <row r="48" spans="1:65">
      <c r="A48" s="29">
        <f>補助簿!B48</f>
        <v>41093</v>
      </c>
      <c r="B48" s="150">
        <f>命令簿!C51</f>
        <v>0</v>
      </c>
      <c r="C48" t="b">
        <f>VLOOKUP($B48,勤務形態オプション!$A$3:$D$10,C$6,FALSE)</f>
        <v>1</v>
      </c>
      <c r="D48" t="b">
        <f>VLOOKUP($B48,勤務形態オプション!$A$3:$D$10,D$6,FALSE)</f>
        <v>0</v>
      </c>
      <c r="E48" t="b">
        <f>VLOOKUP($B48,勤務形態オプション!$A$3:$D$10,E$6,FALSE)</f>
        <v>0</v>
      </c>
      <c r="F48" s="50">
        <f>補助簿!$E48</f>
        <v>0</v>
      </c>
      <c r="G48" s="50">
        <f>補助簿!$F48</f>
        <v>0</v>
      </c>
      <c r="H48" s="50">
        <f>補助簿!$C48</f>
        <v>0</v>
      </c>
      <c r="I48" s="50">
        <f>補助簿!$D48</f>
        <v>0</v>
      </c>
      <c r="J48" s="58">
        <v>1</v>
      </c>
      <c r="K48" s="50">
        <f>IF(命令簿!D49&lt;&gt;"",命令簿!D49,0)</f>
        <v>0</v>
      </c>
      <c r="L48" s="50">
        <f>IF(命令簿!G49&lt;&gt;"",命令簿!G49,IF(命令簿!F49&lt;&gt;"",命令簿!F49,0))</f>
        <v>0</v>
      </c>
      <c r="M48" s="50">
        <f>IF(命令簿!I49&lt;&gt;"",命令簿!I49,$L48)</f>
        <v>0</v>
      </c>
      <c r="N48" s="50">
        <f>IF(命令簿!I49&lt;&gt;"",命令簿!F49,L48)</f>
        <v>0</v>
      </c>
      <c r="O48" s="50">
        <f t="shared" si="10"/>
        <v>0</v>
      </c>
      <c r="P48" s="355">
        <f>SUM(O48:O50)</f>
        <v>0</v>
      </c>
      <c r="R48" s="31">
        <f t="shared" si="38"/>
        <v>0</v>
      </c>
      <c r="S48" s="31">
        <f t="shared" si="39"/>
        <v>0</v>
      </c>
      <c r="T48" s="31">
        <f t="shared" si="40"/>
        <v>0</v>
      </c>
      <c r="U48" s="31">
        <f t="shared" si="41"/>
        <v>0</v>
      </c>
      <c r="V48" s="31">
        <f t="shared" si="42"/>
        <v>0</v>
      </c>
      <c r="W48" s="31">
        <f t="shared" si="31"/>
        <v>0</v>
      </c>
      <c r="X48" s="31">
        <f t="shared" si="11"/>
        <v>0</v>
      </c>
      <c r="Y48" s="31">
        <f t="shared" si="33"/>
        <v>0</v>
      </c>
      <c r="Z48" s="31">
        <f t="shared" si="33"/>
        <v>0</v>
      </c>
      <c r="AA48" s="31">
        <f t="shared" si="33"/>
        <v>0</v>
      </c>
      <c r="AB48" s="31">
        <f t="shared" si="33"/>
        <v>0</v>
      </c>
      <c r="AC48" s="31">
        <f t="shared" si="35"/>
        <v>0</v>
      </c>
      <c r="AD48" s="31">
        <f t="shared" si="43"/>
        <v>0</v>
      </c>
      <c r="AE48" s="31">
        <f t="shared" si="12"/>
        <v>0</v>
      </c>
      <c r="AF48" s="31">
        <f t="shared" si="36"/>
        <v>0</v>
      </c>
      <c r="AG48" s="31">
        <f t="shared" si="37"/>
        <v>0</v>
      </c>
      <c r="AH48" s="31">
        <f t="shared" si="37"/>
        <v>0</v>
      </c>
      <c r="AI48" s="31">
        <f t="shared" si="37"/>
        <v>0</v>
      </c>
      <c r="AJ48" s="31">
        <f t="shared" si="37"/>
        <v>0</v>
      </c>
      <c r="AK48" s="31">
        <f t="shared" si="37"/>
        <v>0</v>
      </c>
      <c r="AL48" s="31">
        <f t="shared" si="37"/>
        <v>0</v>
      </c>
      <c r="AM48" s="31">
        <f t="shared" si="37"/>
        <v>0</v>
      </c>
      <c r="AN48" s="31">
        <f t="shared" si="37"/>
        <v>0</v>
      </c>
      <c r="AO48" s="31">
        <f t="shared" si="37"/>
        <v>0</v>
      </c>
      <c r="AP48" s="31">
        <f t="shared" si="37"/>
        <v>0</v>
      </c>
      <c r="AQ48" s="31">
        <f t="shared" si="37"/>
        <v>0</v>
      </c>
      <c r="AR48" s="31">
        <f t="shared" si="37"/>
        <v>0</v>
      </c>
      <c r="AS48" s="31">
        <f t="shared" si="37"/>
        <v>0</v>
      </c>
      <c r="AT48" s="31">
        <f t="shared" si="37"/>
        <v>0</v>
      </c>
      <c r="AU48" s="31">
        <f t="shared" si="37"/>
        <v>0</v>
      </c>
      <c r="AW48" s="22">
        <f t="shared" si="14"/>
        <v>0</v>
      </c>
      <c r="AX48" s="22">
        <f t="shared" si="15"/>
        <v>0</v>
      </c>
      <c r="AY48" s="22">
        <f t="shared" si="16"/>
        <v>0</v>
      </c>
      <c r="AZ48" s="22">
        <f t="shared" si="17"/>
        <v>0</v>
      </c>
      <c r="BA48" s="22">
        <f t="shared" si="18"/>
        <v>0</v>
      </c>
      <c r="BB48" s="22">
        <f t="shared" si="19"/>
        <v>0</v>
      </c>
      <c r="BC48" s="22">
        <f t="shared" si="20"/>
        <v>0</v>
      </c>
      <c r="BD48" s="22">
        <f t="shared" si="21"/>
        <v>0</v>
      </c>
      <c r="BE48" s="22">
        <f t="shared" si="22"/>
        <v>0</v>
      </c>
      <c r="BF48" s="22">
        <f t="shared" si="23"/>
        <v>0</v>
      </c>
      <c r="BG48" s="22">
        <f t="shared" si="24"/>
        <v>0</v>
      </c>
      <c r="BH48" s="22">
        <f t="shared" si="25"/>
        <v>0</v>
      </c>
      <c r="BI48" s="22">
        <f t="shared" si="26"/>
        <v>0</v>
      </c>
      <c r="BJ48" s="22">
        <f t="shared" si="27"/>
        <v>0</v>
      </c>
      <c r="BK48" s="22">
        <f t="shared" si="28"/>
        <v>0</v>
      </c>
      <c r="BL48" s="22">
        <f t="shared" si="29"/>
        <v>0</v>
      </c>
      <c r="BM48" s="22" t="str">
        <f t="shared" si="30"/>
        <v>OK</v>
      </c>
    </row>
    <row r="49" spans="1:65">
      <c r="A49" s="29">
        <f>A48</f>
        <v>41093</v>
      </c>
      <c r="B49">
        <f>B48</f>
        <v>0</v>
      </c>
      <c r="C49" t="b">
        <f>VLOOKUP($B49,勤務形態オプション!$A$3:$D$10,C$6,FALSE)</f>
        <v>1</v>
      </c>
      <c r="D49" t="b">
        <f>VLOOKUP($B49,勤務形態オプション!$A$3:$D$10,D$6,FALSE)</f>
        <v>0</v>
      </c>
      <c r="E49" t="b">
        <f>VLOOKUP($B49,勤務形態オプション!$A$3:$D$10,E$6,FALSE)</f>
        <v>0</v>
      </c>
      <c r="F49" s="50">
        <f>F48</f>
        <v>0</v>
      </c>
      <c r="G49" s="50">
        <f>G48</f>
        <v>0</v>
      </c>
      <c r="H49" s="50">
        <f>H48</f>
        <v>0</v>
      </c>
      <c r="I49" s="50">
        <f>I48</f>
        <v>0</v>
      </c>
      <c r="J49" s="58">
        <v>2</v>
      </c>
      <c r="K49" s="50">
        <f>IF(命令簿!D50&lt;&gt;"",命令簿!D50,0)</f>
        <v>0</v>
      </c>
      <c r="L49" s="50">
        <f>IF(命令簿!G50&lt;&gt;"",命令簿!G50,IF(命令簿!F50&lt;&gt;"",命令簿!F50,0))</f>
        <v>0</v>
      </c>
      <c r="M49" s="50">
        <f>IF(命令簿!I50&lt;&gt;"",命令簿!I50,$L49)</f>
        <v>0</v>
      </c>
      <c r="N49" s="50">
        <f>IF(命令簿!I50&lt;&gt;"",命令簿!F50,L49)</f>
        <v>0</v>
      </c>
      <c r="O49" s="50">
        <f t="shared" si="10"/>
        <v>0</v>
      </c>
      <c r="P49" s="355"/>
      <c r="R49" s="31">
        <f t="shared" si="38"/>
        <v>0</v>
      </c>
      <c r="S49" s="31">
        <f t="shared" si="39"/>
        <v>0</v>
      </c>
      <c r="T49" s="31">
        <f t="shared" si="40"/>
        <v>0</v>
      </c>
      <c r="U49" s="31">
        <f t="shared" si="41"/>
        <v>0</v>
      </c>
      <c r="V49" s="31">
        <f t="shared" si="42"/>
        <v>0</v>
      </c>
      <c r="W49" s="31">
        <f t="shared" si="31"/>
        <v>0</v>
      </c>
      <c r="X49" s="31">
        <f t="shared" si="11"/>
        <v>0</v>
      </c>
      <c r="Y49" s="31">
        <f t="shared" ref="Y49:AB68" si="44">CalcOverTime($E49,$X49,$U49,$T49,$S49,$R49,Y$7)</f>
        <v>0</v>
      </c>
      <c r="Z49" s="31">
        <f t="shared" si="44"/>
        <v>0</v>
      </c>
      <c r="AA49" s="31">
        <f t="shared" si="44"/>
        <v>0</v>
      </c>
      <c r="AB49" s="31">
        <f t="shared" si="44"/>
        <v>0</v>
      </c>
      <c r="AC49" s="31">
        <f t="shared" si="35"/>
        <v>0</v>
      </c>
      <c r="AD49" s="31">
        <f t="shared" si="43"/>
        <v>0</v>
      </c>
      <c r="AE49" s="31">
        <f t="shared" si="12"/>
        <v>0</v>
      </c>
      <c r="AF49" s="31">
        <f t="shared" si="36"/>
        <v>0</v>
      </c>
      <c r="AG49" s="31">
        <f t="shared" ref="AG49:AU58" si="45">AllocateWorkTime($C49:$I49,$Y49:$AF49,AG$6)</f>
        <v>0</v>
      </c>
      <c r="AH49" s="31">
        <f t="shared" si="45"/>
        <v>0</v>
      </c>
      <c r="AI49" s="31">
        <f t="shared" si="45"/>
        <v>0</v>
      </c>
      <c r="AJ49" s="31">
        <f t="shared" si="45"/>
        <v>0</v>
      </c>
      <c r="AK49" s="31">
        <f t="shared" si="45"/>
        <v>0</v>
      </c>
      <c r="AL49" s="31">
        <f t="shared" si="45"/>
        <v>0</v>
      </c>
      <c r="AM49" s="31">
        <f t="shared" si="45"/>
        <v>0</v>
      </c>
      <c r="AN49" s="31">
        <f t="shared" si="45"/>
        <v>0</v>
      </c>
      <c r="AO49" s="31">
        <f t="shared" si="45"/>
        <v>0</v>
      </c>
      <c r="AP49" s="31">
        <f t="shared" si="45"/>
        <v>0</v>
      </c>
      <c r="AQ49" s="31">
        <f t="shared" si="45"/>
        <v>0</v>
      </c>
      <c r="AR49" s="31">
        <f t="shared" si="45"/>
        <v>0</v>
      </c>
      <c r="AS49" s="31">
        <f t="shared" si="45"/>
        <v>0</v>
      </c>
      <c r="AT49" s="31">
        <f t="shared" si="45"/>
        <v>0</v>
      </c>
      <c r="AU49" s="31">
        <f t="shared" si="45"/>
        <v>0</v>
      </c>
      <c r="AW49" s="22">
        <f t="shared" si="14"/>
        <v>0</v>
      </c>
      <c r="AX49" s="22">
        <f t="shared" si="15"/>
        <v>0</v>
      </c>
      <c r="AY49" s="22">
        <f t="shared" si="16"/>
        <v>0</v>
      </c>
      <c r="AZ49" s="22">
        <f t="shared" si="17"/>
        <v>0</v>
      </c>
      <c r="BA49" s="22">
        <f t="shared" si="18"/>
        <v>0</v>
      </c>
      <c r="BB49" s="22">
        <f t="shared" si="19"/>
        <v>0</v>
      </c>
      <c r="BC49" s="22">
        <f t="shared" si="20"/>
        <v>0</v>
      </c>
      <c r="BD49" s="22">
        <f t="shared" si="21"/>
        <v>0</v>
      </c>
      <c r="BE49" s="22">
        <f t="shared" si="22"/>
        <v>0</v>
      </c>
      <c r="BF49" s="22">
        <f t="shared" si="23"/>
        <v>0</v>
      </c>
      <c r="BG49" s="22">
        <f t="shared" si="24"/>
        <v>0</v>
      </c>
      <c r="BH49" s="22">
        <f t="shared" si="25"/>
        <v>0</v>
      </c>
      <c r="BI49" s="22">
        <f t="shared" si="26"/>
        <v>0</v>
      </c>
      <c r="BJ49" s="22">
        <f t="shared" si="27"/>
        <v>0</v>
      </c>
      <c r="BK49" s="22">
        <f t="shared" si="28"/>
        <v>0</v>
      </c>
      <c r="BL49" s="22">
        <f t="shared" si="29"/>
        <v>0</v>
      </c>
      <c r="BM49" s="22" t="str">
        <f t="shared" si="30"/>
        <v>OK</v>
      </c>
    </row>
    <row r="50" spans="1:65">
      <c r="A50" s="29">
        <f>A49</f>
        <v>41093</v>
      </c>
      <c r="B50">
        <f>B49</f>
        <v>0</v>
      </c>
      <c r="C50" t="b">
        <f>VLOOKUP($B50,勤務形態オプション!$A$3:$D$10,C$6,FALSE)</f>
        <v>1</v>
      </c>
      <c r="D50" t="b">
        <f>VLOOKUP($B50,勤務形態オプション!$A$3:$D$10,D$6,FALSE)</f>
        <v>0</v>
      </c>
      <c r="E50" t="b">
        <f>VLOOKUP($B50,勤務形態オプション!$A$3:$D$10,E$6,FALSE)</f>
        <v>0</v>
      </c>
      <c r="F50" s="50">
        <f>F48</f>
        <v>0</v>
      </c>
      <c r="G50" s="50">
        <f>G48</f>
        <v>0</v>
      </c>
      <c r="H50" s="50">
        <f>H48</f>
        <v>0</v>
      </c>
      <c r="I50" s="50">
        <f>I48</f>
        <v>0</v>
      </c>
      <c r="J50" s="58">
        <v>3</v>
      </c>
      <c r="K50" s="50">
        <f>IF(命令簿!D51&lt;&gt;"",命令簿!D51,0)</f>
        <v>0</v>
      </c>
      <c r="L50" s="50">
        <f>IF(命令簿!G51&lt;&gt;"",命令簿!G51,IF(命令簿!F51&lt;&gt;"",命令簿!F51,0))</f>
        <v>0</v>
      </c>
      <c r="M50" s="50">
        <f>IF(命令簿!I51&lt;&gt;"",命令簿!I51,$L50)</f>
        <v>0</v>
      </c>
      <c r="N50" s="50">
        <f>IF(命令簿!I51&lt;&gt;"",命令簿!F51,L50)</f>
        <v>0</v>
      </c>
      <c r="O50" s="50">
        <f t="shared" si="10"/>
        <v>0</v>
      </c>
      <c r="P50" s="355"/>
      <c r="R50" s="31">
        <f t="shared" si="38"/>
        <v>0</v>
      </c>
      <c r="S50" s="31">
        <f t="shared" si="39"/>
        <v>0</v>
      </c>
      <c r="T50" s="31">
        <f t="shared" si="40"/>
        <v>0</v>
      </c>
      <c r="U50" s="31">
        <f t="shared" si="41"/>
        <v>0</v>
      </c>
      <c r="V50" s="31">
        <f t="shared" si="42"/>
        <v>0</v>
      </c>
      <c r="W50" s="31">
        <f t="shared" si="31"/>
        <v>0</v>
      </c>
      <c r="X50" s="31">
        <f t="shared" si="11"/>
        <v>0</v>
      </c>
      <c r="Y50" s="31">
        <f t="shared" si="44"/>
        <v>0</v>
      </c>
      <c r="Z50" s="31">
        <f t="shared" si="44"/>
        <v>0</v>
      </c>
      <c r="AA50" s="31">
        <f t="shared" si="44"/>
        <v>0</v>
      </c>
      <c r="AB50" s="31">
        <f t="shared" si="44"/>
        <v>0</v>
      </c>
      <c r="AC50" s="31">
        <f t="shared" si="35"/>
        <v>0</v>
      </c>
      <c r="AD50" s="31">
        <f t="shared" si="43"/>
        <v>0</v>
      </c>
      <c r="AE50" s="31">
        <f t="shared" si="12"/>
        <v>0</v>
      </c>
      <c r="AF50" s="31">
        <f t="shared" si="36"/>
        <v>0</v>
      </c>
      <c r="AG50" s="31">
        <f t="shared" si="45"/>
        <v>0</v>
      </c>
      <c r="AH50" s="31">
        <f t="shared" si="45"/>
        <v>0</v>
      </c>
      <c r="AI50" s="31">
        <f t="shared" si="45"/>
        <v>0</v>
      </c>
      <c r="AJ50" s="31">
        <f t="shared" si="45"/>
        <v>0</v>
      </c>
      <c r="AK50" s="31">
        <f t="shared" si="45"/>
        <v>0</v>
      </c>
      <c r="AL50" s="31">
        <f t="shared" si="45"/>
        <v>0</v>
      </c>
      <c r="AM50" s="31">
        <f t="shared" si="45"/>
        <v>0</v>
      </c>
      <c r="AN50" s="31">
        <f t="shared" si="45"/>
        <v>0</v>
      </c>
      <c r="AO50" s="31">
        <f t="shared" si="45"/>
        <v>0</v>
      </c>
      <c r="AP50" s="31">
        <f t="shared" si="45"/>
        <v>0</v>
      </c>
      <c r="AQ50" s="31">
        <f t="shared" si="45"/>
        <v>0</v>
      </c>
      <c r="AR50" s="31">
        <f t="shared" si="45"/>
        <v>0</v>
      </c>
      <c r="AS50" s="31">
        <f t="shared" si="45"/>
        <v>0</v>
      </c>
      <c r="AT50" s="31">
        <f t="shared" si="45"/>
        <v>0</v>
      </c>
      <c r="AU50" s="31">
        <f t="shared" si="45"/>
        <v>0</v>
      </c>
      <c r="AW50" s="22">
        <f t="shared" si="14"/>
        <v>0</v>
      </c>
      <c r="AX50" s="22">
        <f t="shared" si="15"/>
        <v>0</v>
      </c>
      <c r="AY50" s="22">
        <f t="shared" si="16"/>
        <v>0</v>
      </c>
      <c r="AZ50" s="22">
        <f t="shared" si="17"/>
        <v>0</v>
      </c>
      <c r="BA50" s="22">
        <f t="shared" si="18"/>
        <v>0</v>
      </c>
      <c r="BB50" s="22">
        <f t="shared" si="19"/>
        <v>0</v>
      </c>
      <c r="BC50" s="22">
        <f t="shared" si="20"/>
        <v>0</v>
      </c>
      <c r="BD50" s="22">
        <f t="shared" si="21"/>
        <v>0</v>
      </c>
      <c r="BE50" s="22">
        <f t="shared" si="22"/>
        <v>0</v>
      </c>
      <c r="BF50" s="22">
        <f t="shared" si="23"/>
        <v>0</v>
      </c>
      <c r="BG50" s="22">
        <f t="shared" si="24"/>
        <v>0</v>
      </c>
      <c r="BH50" s="22">
        <f t="shared" si="25"/>
        <v>0</v>
      </c>
      <c r="BI50" s="22">
        <f t="shared" si="26"/>
        <v>0</v>
      </c>
      <c r="BJ50" s="22">
        <f t="shared" si="27"/>
        <v>0</v>
      </c>
      <c r="BK50" s="22">
        <f t="shared" si="28"/>
        <v>0</v>
      </c>
      <c r="BL50" s="22">
        <f t="shared" si="29"/>
        <v>0</v>
      </c>
      <c r="BM50" s="22" t="str">
        <f t="shared" si="30"/>
        <v>OK</v>
      </c>
    </row>
    <row r="51" spans="1:65">
      <c r="A51" s="29">
        <f>補助簿!B51</f>
        <v>41094</v>
      </c>
      <c r="B51" s="151">
        <f>命令簿!C54</f>
        <v>0</v>
      </c>
      <c r="C51" t="b">
        <f>VLOOKUP($B51,勤務形態オプション!$A$3:$D$10,C$6,FALSE)</f>
        <v>1</v>
      </c>
      <c r="D51" t="b">
        <f>VLOOKUP($B51,勤務形態オプション!$A$3:$D$10,D$6,FALSE)</f>
        <v>0</v>
      </c>
      <c r="E51" t="b">
        <f>VLOOKUP($B51,勤務形態オプション!$A$3:$D$10,E$6,FALSE)</f>
        <v>0</v>
      </c>
      <c r="F51" s="50">
        <f>補助簿!$E51</f>
        <v>0</v>
      </c>
      <c r="G51" s="50">
        <f>補助簿!$F51</f>
        <v>0</v>
      </c>
      <c r="H51" s="50">
        <f>補助簿!$C51</f>
        <v>0</v>
      </c>
      <c r="I51" s="50">
        <f>補助簿!$D51</f>
        <v>0</v>
      </c>
      <c r="J51" s="58">
        <v>1</v>
      </c>
      <c r="K51" s="50">
        <f>IF(命令簿!D52&lt;&gt;"",命令簿!D52,0)</f>
        <v>0</v>
      </c>
      <c r="L51" s="50">
        <f>IF(命令簿!G52&lt;&gt;"",命令簿!G52,IF(命令簿!F52&lt;&gt;"",命令簿!F52,0))</f>
        <v>0</v>
      </c>
      <c r="M51" s="50">
        <f>IF(命令簿!I52&lt;&gt;"",命令簿!I52,$L51)</f>
        <v>0</v>
      </c>
      <c r="N51" s="50">
        <f>IF(命令簿!I52&lt;&gt;"",命令簿!F52,L51)</f>
        <v>0</v>
      </c>
      <c r="O51" s="50">
        <f t="shared" si="10"/>
        <v>0</v>
      </c>
      <c r="P51" s="355">
        <f>SUM(O51:O53)</f>
        <v>0</v>
      </c>
      <c r="R51" s="31">
        <f t="shared" si="38"/>
        <v>0</v>
      </c>
      <c r="S51" s="31">
        <f t="shared" si="39"/>
        <v>0</v>
      </c>
      <c r="T51" s="31">
        <f t="shared" si="40"/>
        <v>0</v>
      </c>
      <c r="U51" s="31">
        <f t="shared" si="41"/>
        <v>0</v>
      </c>
      <c r="V51" s="31">
        <f t="shared" si="42"/>
        <v>0</v>
      </c>
      <c r="W51" s="31">
        <f t="shared" si="31"/>
        <v>0</v>
      </c>
      <c r="X51" s="31">
        <f t="shared" si="11"/>
        <v>0</v>
      </c>
      <c r="Y51" s="31">
        <f t="shared" si="44"/>
        <v>0</v>
      </c>
      <c r="Z51" s="31">
        <f t="shared" si="44"/>
        <v>0</v>
      </c>
      <c r="AA51" s="31">
        <f t="shared" si="44"/>
        <v>0</v>
      </c>
      <c r="AB51" s="31">
        <f t="shared" si="44"/>
        <v>0</v>
      </c>
      <c r="AC51" s="31">
        <f t="shared" si="35"/>
        <v>0</v>
      </c>
      <c r="AD51" s="31">
        <f t="shared" si="43"/>
        <v>0</v>
      </c>
      <c r="AE51" s="31">
        <f t="shared" si="12"/>
        <v>0</v>
      </c>
      <c r="AF51" s="31">
        <f t="shared" si="36"/>
        <v>0</v>
      </c>
      <c r="AG51" s="31">
        <f t="shared" si="45"/>
        <v>0</v>
      </c>
      <c r="AH51" s="31">
        <f t="shared" si="45"/>
        <v>0</v>
      </c>
      <c r="AI51" s="31">
        <f t="shared" si="45"/>
        <v>0</v>
      </c>
      <c r="AJ51" s="31">
        <f t="shared" si="45"/>
        <v>0</v>
      </c>
      <c r="AK51" s="31">
        <f t="shared" si="45"/>
        <v>0</v>
      </c>
      <c r="AL51" s="31">
        <f t="shared" si="45"/>
        <v>0</v>
      </c>
      <c r="AM51" s="31">
        <f t="shared" si="45"/>
        <v>0</v>
      </c>
      <c r="AN51" s="31">
        <f t="shared" si="45"/>
        <v>0</v>
      </c>
      <c r="AO51" s="31">
        <f t="shared" si="45"/>
        <v>0</v>
      </c>
      <c r="AP51" s="31">
        <f t="shared" si="45"/>
        <v>0</v>
      </c>
      <c r="AQ51" s="31">
        <f t="shared" si="45"/>
        <v>0</v>
      </c>
      <c r="AR51" s="31">
        <f t="shared" si="45"/>
        <v>0</v>
      </c>
      <c r="AS51" s="31">
        <f t="shared" si="45"/>
        <v>0</v>
      </c>
      <c r="AT51" s="31">
        <f t="shared" si="45"/>
        <v>0</v>
      </c>
      <c r="AU51" s="31">
        <f t="shared" si="45"/>
        <v>0</v>
      </c>
      <c r="AW51" s="22">
        <f t="shared" si="14"/>
        <v>0</v>
      </c>
      <c r="AX51" s="22">
        <f t="shared" si="15"/>
        <v>0</v>
      </c>
      <c r="AY51" s="22">
        <f t="shared" si="16"/>
        <v>0</v>
      </c>
      <c r="AZ51" s="22">
        <f t="shared" si="17"/>
        <v>0</v>
      </c>
      <c r="BA51" s="22">
        <f t="shared" si="18"/>
        <v>0</v>
      </c>
      <c r="BB51" s="22">
        <f t="shared" si="19"/>
        <v>0</v>
      </c>
      <c r="BC51" s="22">
        <f t="shared" si="20"/>
        <v>0</v>
      </c>
      <c r="BD51" s="22">
        <f t="shared" si="21"/>
        <v>0</v>
      </c>
      <c r="BE51" s="22">
        <f t="shared" si="22"/>
        <v>0</v>
      </c>
      <c r="BF51" s="22">
        <f t="shared" si="23"/>
        <v>0</v>
      </c>
      <c r="BG51" s="22">
        <f t="shared" si="24"/>
        <v>0</v>
      </c>
      <c r="BH51" s="22">
        <f t="shared" si="25"/>
        <v>0</v>
      </c>
      <c r="BI51" s="22">
        <f t="shared" si="26"/>
        <v>0</v>
      </c>
      <c r="BJ51" s="22">
        <f t="shared" si="27"/>
        <v>0</v>
      </c>
      <c r="BK51" s="22">
        <f t="shared" si="28"/>
        <v>0</v>
      </c>
      <c r="BL51" s="22">
        <f t="shared" si="29"/>
        <v>0</v>
      </c>
      <c r="BM51" s="22" t="str">
        <f t="shared" si="30"/>
        <v>OK</v>
      </c>
    </row>
    <row r="52" spans="1:65">
      <c r="A52" s="29">
        <f>A51</f>
        <v>41094</v>
      </c>
      <c r="B52">
        <f>B51</f>
        <v>0</v>
      </c>
      <c r="C52" t="b">
        <f>VLOOKUP($B52,勤務形態オプション!$A$3:$D$10,C$6,FALSE)</f>
        <v>1</v>
      </c>
      <c r="D52" t="b">
        <f>VLOOKUP($B52,勤務形態オプション!$A$3:$D$10,D$6,FALSE)</f>
        <v>0</v>
      </c>
      <c r="E52" t="b">
        <f>VLOOKUP($B52,勤務形態オプション!$A$3:$D$10,E$6,FALSE)</f>
        <v>0</v>
      </c>
      <c r="F52" s="50">
        <f>F51</f>
        <v>0</v>
      </c>
      <c r="G52" s="50">
        <f>G51</f>
        <v>0</v>
      </c>
      <c r="H52" s="50">
        <f>H51</f>
        <v>0</v>
      </c>
      <c r="I52" s="50">
        <f>I51</f>
        <v>0</v>
      </c>
      <c r="J52" s="58">
        <v>2</v>
      </c>
      <c r="K52" s="50">
        <f>IF(命令簿!D53&lt;&gt;"",命令簿!D53,0)</f>
        <v>0</v>
      </c>
      <c r="L52" s="50">
        <f>IF(命令簿!G53&lt;&gt;"",命令簿!G53,IF(命令簿!F53&lt;&gt;"",命令簿!F53,0))</f>
        <v>0</v>
      </c>
      <c r="M52" s="50">
        <f>IF(命令簿!I53&lt;&gt;"",命令簿!I53,$L52)</f>
        <v>0</v>
      </c>
      <c r="N52" s="50">
        <f>IF(命令簿!I53&lt;&gt;"",命令簿!F53,L52)</f>
        <v>0</v>
      </c>
      <c r="O52" s="50">
        <f t="shared" si="10"/>
        <v>0</v>
      </c>
      <c r="P52" s="355"/>
      <c r="R52" s="31">
        <f t="shared" si="38"/>
        <v>0</v>
      </c>
      <c r="S52" s="31">
        <f t="shared" si="39"/>
        <v>0</v>
      </c>
      <c r="T52" s="31">
        <f t="shared" si="40"/>
        <v>0</v>
      </c>
      <c r="U52" s="31">
        <f t="shared" si="41"/>
        <v>0</v>
      </c>
      <c r="V52" s="31">
        <f t="shared" si="42"/>
        <v>0</v>
      </c>
      <c r="W52" s="31">
        <f t="shared" si="31"/>
        <v>0</v>
      </c>
      <c r="X52" s="31">
        <f t="shared" si="11"/>
        <v>0</v>
      </c>
      <c r="Y52" s="31">
        <f t="shared" si="44"/>
        <v>0</v>
      </c>
      <c r="Z52" s="31">
        <f t="shared" si="44"/>
        <v>0</v>
      </c>
      <c r="AA52" s="31">
        <f t="shared" si="44"/>
        <v>0</v>
      </c>
      <c r="AB52" s="31">
        <f t="shared" si="44"/>
        <v>0</v>
      </c>
      <c r="AC52" s="31">
        <f t="shared" si="35"/>
        <v>0</v>
      </c>
      <c r="AD52" s="31">
        <f t="shared" si="43"/>
        <v>0</v>
      </c>
      <c r="AE52" s="31">
        <f t="shared" si="12"/>
        <v>0</v>
      </c>
      <c r="AF52" s="31">
        <f t="shared" si="36"/>
        <v>0</v>
      </c>
      <c r="AG52" s="31">
        <f t="shared" si="45"/>
        <v>0</v>
      </c>
      <c r="AH52" s="31">
        <f t="shared" si="45"/>
        <v>0</v>
      </c>
      <c r="AI52" s="31">
        <f t="shared" si="45"/>
        <v>0</v>
      </c>
      <c r="AJ52" s="31">
        <f t="shared" si="45"/>
        <v>0</v>
      </c>
      <c r="AK52" s="31">
        <f t="shared" si="45"/>
        <v>0</v>
      </c>
      <c r="AL52" s="31">
        <f t="shared" si="45"/>
        <v>0</v>
      </c>
      <c r="AM52" s="31">
        <f t="shared" si="45"/>
        <v>0</v>
      </c>
      <c r="AN52" s="31">
        <f t="shared" si="45"/>
        <v>0</v>
      </c>
      <c r="AO52" s="31">
        <f t="shared" si="45"/>
        <v>0</v>
      </c>
      <c r="AP52" s="31">
        <f t="shared" si="45"/>
        <v>0</v>
      </c>
      <c r="AQ52" s="31">
        <f t="shared" si="45"/>
        <v>0</v>
      </c>
      <c r="AR52" s="31">
        <f t="shared" si="45"/>
        <v>0</v>
      </c>
      <c r="AS52" s="31">
        <f t="shared" si="45"/>
        <v>0</v>
      </c>
      <c r="AT52" s="31">
        <f t="shared" si="45"/>
        <v>0</v>
      </c>
      <c r="AU52" s="31">
        <f t="shared" si="45"/>
        <v>0</v>
      </c>
      <c r="AW52" s="22">
        <f t="shared" si="14"/>
        <v>0</v>
      </c>
      <c r="AX52" s="22">
        <f t="shared" si="15"/>
        <v>0</v>
      </c>
      <c r="AY52" s="22">
        <f t="shared" si="16"/>
        <v>0</v>
      </c>
      <c r="AZ52" s="22">
        <f t="shared" si="17"/>
        <v>0</v>
      </c>
      <c r="BA52" s="22">
        <f t="shared" si="18"/>
        <v>0</v>
      </c>
      <c r="BB52" s="22">
        <f t="shared" si="19"/>
        <v>0</v>
      </c>
      <c r="BC52" s="22">
        <f t="shared" si="20"/>
        <v>0</v>
      </c>
      <c r="BD52" s="22">
        <f t="shared" si="21"/>
        <v>0</v>
      </c>
      <c r="BE52" s="22">
        <f t="shared" si="22"/>
        <v>0</v>
      </c>
      <c r="BF52" s="22">
        <f t="shared" si="23"/>
        <v>0</v>
      </c>
      <c r="BG52" s="22">
        <f t="shared" si="24"/>
        <v>0</v>
      </c>
      <c r="BH52" s="22">
        <f t="shared" si="25"/>
        <v>0</v>
      </c>
      <c r="BI52" s="22">
        <f t="shared" si="26"/>
        <v>0</v>
      </c>
      <c r="BJ52" s="22">
        <f t="shared" si="27"/>
        <v>0</v>
      </c>
      <c r="BK52" s="22">
        <f t="shared" si="28"/>
        <v>0</v>
      </c>
      <c r="BL52" s="22">
        <f t="shared" si="29"/>
        <v>0</v>
      </c>
      <c r="BM52" s="22" t="str">
        <f t="shared" si="30"/>
        <v>OK</v>
      </c>
    </row>
    <row r="53" spans="1:65">
      <c r="A53" s="29">
        <f>A52</f>
        <v>41094</v>
      </c>
      <c r="B53">
        <f>B52</f>
        <v>0</v>
      </c>
      <c r="C53" t="b">
        <f>VLOOKUP($B53,勤務形態オプション!$A$3:$D$10,C$6,FALSE)</f>
        <v>1</v>
      </c>
      <c r="D53" t="b">
        <f>VLOOKUP($B53,勤務形態オプション!$A$3:$D$10,D$6,FALSE)</f>
        <v>0</v>
      </c>
      <c r="E53" t="b">
        <f>VLOOKUP($B53,勤務形態オプション!$A$3:$D$10,E$6,FALSE)</f>
        <v>0</v>
      </c>
      <c r="F53" s="50">
        <f>F51</f>
        <v>0</v>
      </c>
      <c r="G53" s="50">
        <f>G51</f>
        <v>0</v>
      </c>
      <c r="H53" s="50">
        <f>H51</f>
        <v>0</v>
      </c>
      <c r="I53" s="50">
        <f>I51</f>
        <v>0</v>
      </c>
      <c r="J53" s="58">
        <v>3</v>
      </c>
      <c r="K53" s="50">
        <f>IF(命令簿!D54&lt;&gt;"",命令簿!D54,0)</f>
        <v>0</v>
      </c>
      <c r="L53" s="50">
        <f>IF(命令簿!G54&lt;&gt;"",命令簿!G54,IF(命令簿!F54&lt;&gt;"",命令簿!F54,0))</f>
        <v>0</v>
      </c>
      <c r="M53" s="50">
        <f>IF(命令簿!I54&lt;&gt;"",命令簿!I54,$L53)</f>
        <v>0</v>
      </c>
      <c r="N53" s="50">
        <f>IF(命令簿!I54&lt;&gt;"",命令簿!F54,L53)</f>
        <v>0</v>
      </c>
      <c r="O53" s="50">
        <f t="shared" si="10"/>
        <v>0</v>
      </c>
      <c r="P53" s="355"/>
      <c r="R53" s="31">
        <f t="shared" si="38"/>
        <v>0</v>
      </c>
      <c r="S53" s="31">
        <f t="shared" si="39"/>
        <v>0</v>
      </c>
      <c r="T53" s="31">
        <f t="shared" si="40"/>
        <v>0</v>
      </c>
      <c r="U53" s="31">
        <f t="shared" si="41"/>
        <v>0</v>
      </c>
      <c r="V53" s="31">
        <f t="shared" si="42"/>
        <v>0</v>
      </c>
      <c r="W53" s="31">
        <f t="shared" si="31"/>
        <v>0</v>
      </c>
      <c r="X53" s="31">
        <f t="shared" si="11"/>
        <v>0</v>
      </c>
      <c r="Y53" s="31">
        <f t="shared" si="44"/>
        <v>0</v>
      </c>
      <c r="Z53" s="31">
        <f t="shared" si="44"/>
        <v>0</v>
      </c>
      <c r="AA53" s="31">
        <f t="shared" si="44"/>
        <v>0</v>
      </c>
      <c r="AB53" s="31">
        <f t="shared" si="44"/>
        <v>0</v>
      </c>
      <c r="AC53" s="31">
        <f t="shared" si="35"/>
        <v>0</v>
      </c>
      <c r="AD53" s="31">
        <f t="shared" si="43"/>
        <v>0</v>
      </c>
      <c r="AE53" s="31">
        <f t="shared" si="12"/>
        <v>0</v>
      </c>
      <c r="AF53" s="31">
        <f t="shared" si="36"/>
        <v>0</v>
      </c>
      <c r="AG53" s="31">
        <f t="shared" si="45"/>
        <v>0</v>
      </c>
      <c r="AH53" s="31">
        <f t="shared" si="45"/>
        <v>0</v>
      </c>
      <c r="AI53" s="31">
        <f t="shared" si="45"/>
        <v>0</v>
      </c>
      <c r="AJ53" s="31">
        <f t="shared" si="45"/>
        <v>0</v>
      </c>
      <c r="AK53" s="31">
        <f t="shared" si="45"/>
        <v>0</v>
      </c>
      <c r="AL53" s="31">
        <f t="shared" si="45"/>
        <v>0</v>
      </c>
      <c r="AM53" s="31">
        <f t="shared" si="45"/>
        <v>0</v>
      </c>
      <c r="AN53" s="31">
        <f t="shared" si="45"/>
        <v>0</v>
      </c>
      <c r="AO53" s="31">
        <f t="shared" si="45"/>
        <v>0</v>
      </c>
      <c r="AP53" s="31">
        <f t="shared" si="45"/>
        <v>0</v>
      </c>
      <c r="AQ53" s="31">
        <f t="shared" si="45"/>
        <v>0</v>
      </c>
      <c r="AR53" s="31">
        <f t="shared" si="45"/>
        <v>0</v>
      </c>
      <c r="AS53" s="31">
        <f t="shared" si="45"/>
        <v>0</v>
      </c>
      <c r="AT53" s="31">
        <f t="shared" si="45"/>
        <v>0</v>
      </c>
      <c r="AU53" s="31">
        <f t="shared" si="45"/>
        <v>0</v>
      </c>
      <c r="AW53" s="22">
        <f t="shared" si="14"/>
        <v>0</v>
      </c>
      <c r="AX53" s="22">
        <f t="shared" si="15"/>
        <v>0</v>
      </c>
      <c r="AY53" s="22">
        <f t="shared" si="16"/>
        <v>0</v>
      </c>
      <c r="AZ53" s="22">
        <f t="shared" si="17"/>
        <v>0</v>
      </c>
      <c r="BA53" s="22">
        <f t="shared" si="18"/>
        <v>0</v>
      </c>
      <c r="BB53" s="22">
        <f t="shared" si="19"/>
        <v>0</v>
      </c>
      <c r="BC53" s="22">
        <f t="shared" si="20"/>
        <v>0</v>
      </c>
      <c r="BD53" s="22">
        <f t="shared" si="21"/>
        <v>0</v>
      </c>
      <c r="BE53" s="22">
        <f t="shared" si="22"/>
        <v>0</v>
      </c>
      <c r="BF53" s="22">
        <f t="shared" si="23"/>
        <v>0</v>
      </c>
      <c r="BG53" s="22">
        <f t="shared" si="24"/>
        <v>0</v>
      </c>
      <c r="BH53" s="22">
        <f t="shared" si="25"/>
        <v>0</v>
      </c>
      <c r="BI53" s="22">
        <f t="shared" si="26"/>
        <v>0</v>
      </c>
      <c r="BJ53" s="22">
        <f t="shared" si="27"/>
        <v>0</v>
      </c>
      <c r="BK53" s="22">
        <f t="shared" si="28"/>
        <v>0</v>
      </c>
      <c r="BL53" s="22">
        <f t="shared" si="29"/>
        <v>0</v>
      </c>
      <c r="BM53" s="22" t="str">
        <f t="shared" si="30"/>
        <v>OK</v>
      </c>
    </row>
    <row r="54" spans="1:65">
      <c r="A54" s="29">
        <f>補助簿!B54</f>
        <v>41095</v>
      </c>
      <c r="B54" s="150">
        <f>命令簿!C57</f>
        <v>0</v>
      </c>
      <c r="C54" t="b">
        <f>VLOOKUP($B54,勤務形態オプション!$A$3:$D$10,C$6,FALSE)</f>
        <v>1</v>
      </c>
      <c r="D54" t="b">
        <f>VLOOKUP($B54,勤務形態オプション!$A$3:$D$10,D$6,FALSE)</f>
        <v>0</v>
      </c>
      <c r="E54" t="b">
        <f>VLOOKUP($B54,勤務形態オプション!$A$3:$D$10,E$6,FALSE)</f>
        <v>0</v>
      </c>
      <c r="F54" s="50">
        <f>補助簿!$E54</f>
        <v>0</v>
      </c>
      <c r="G54" s="50">
        <f>補助簿!$F54</f>
        <v>0</v>
      </c>
      <c r="H54" s="50">
        <f>補助簿!$C54</f>
        <v>0</v>
      </c>
      <c r="I54" s="50">
        <f>補助簿!$D54</f>
        <v>0</v>
      </c>
      <c r="J54" s="58">
        <v>1</v>
      </c>
      <c r="K54" s="50">
        <f>IF(命令簿!D55&lt;&gt;"",命令簿!D55,0)</f>
        <v>0</v>
      </c>
      <c r="L54" s="50">
        <f>IF(命令簿!G55&lt;&gt;"",命令簿!G55,IF(命令簿!F55&lt;&gt;"",命令簿!F55,0))</f>
        <v>0</v>
      </c>
      <c r="M54" s="50">
        <f>IF(命令簿!I55&lt;&gt;"",命令簿!I55,$L54)</f>
        <v>0</v>
      </c>
      <c r="N54" s="50">
        <f>IF(命令簿!I55&lt;&gt;"",命令簿!F55,L54)</f>
        <v>0</v>
      </c>
      <c r="O54" s="50">
        <f t="shared" si="10"/>
        <v>0</v>
      </c>
      <c r="P54" s="355">
        <f>SUM(O54:O56)</f>
        <v>0</v>
      </c>
      <c r="R54" s="31">
        <f t="shared" si="38"/>
        <v>0</v>
      </c>
      <c r="S54" s="31">
        <f t="shared" si="39"/>
        <v>0</v>
      </c>
      <c r="T54" s="31">
        <f t="shared" si="40"/>
        <v>0</v>
      </c>
      <c r="U54" s="31">
        <f t="shared" si="41"/>
        <v>0</v>
      </c>
      <c r="V54" s="31">
        <f t="shared" si="42"/>
        <v>0</v>
      </c>
      <c r="W54" s="31">
        <f t="shared" si="31"/>
        <v>0</v>
      </c>
      <c r="X54" s="31">
        <f t="shared" si="11"/>
        <v>0</v>
      </c>
      <c r="Y54" s="31">
        <f t="shared" si="44"/>
        <v>0</v>
      </c>
      <c r="Z54" s="31">
        <f t="shared" si="44"/>
        <v>0</v>
      </c>
      <c r="AA54" s="31">
        <f t="shared" si="44"/>
        <v>0</v>
      </c>
      <c r="AB54" s="31">
        <f t="shared" si="44"/>
        <v>0</v>
      </c>
      <c r="AC54" s="31">
        <f t="shared" si="35"/>
        <v>0</v>
      </c>
      <c r="AD54" s="31">
        <f t="shared" si="43"/>
        <v>0</v>
      </c>
      <c r="AE54" s="31">
        <f t="shared" si="12"/>
        <v>0</v>
      </c>
      <c r="AF54" s="31">
        <f t="shared" si="36"/>
        <v>0</v>
      </c>
      <c r="AG54" s="31">
        <f t="shared" si="45"/>
        <v>0</v>
      </c>
      <c r="AH54" s="31">
        <f t="shared" si="45"/>
        <v>0</v>
      </c>
      <c r="AI54" s="31">
        <f t="shared" si="45"/>
        <v>0</v>
      </c>
      <c r="AJ54" s="31">
        <f t="shared" si="45"/>
        <v>0</v>
      </c>
      <c r="AK54" s="31">
        <f t="shared" si="45"/>
        <v>0</v>
      </c>
      <c r="AL54" s="31">
        <f t="shared" si="45"/>
        <v>0</v>
      </c>
      <c r="AM54" s="31">
        <f t="shared" si="45"/>
        <v>0</v>
      </c>
      <c r="AN54" s="31">
        <f t="shared" si="45"/>
        <v>0</v>
      </c>
      <c r="AO54" s="31">
        <f t="shared" si="45"/>
        <v>0</v>
      </c>
      <c r="AP54" s="31">
        <f t="shared" si="45"/>
        <v>0</v>
      </c>
      <c r="AQ54" s="31">
        <f t="shared" si="45"/>
        <v>0</v>
      </c>
      <c r="AR54" s="31">
        <f t="shared" si="45"/>
        <v>0</v>
      </c>
      <c r="AS54" s="31">
        <f t="shared" si="45"/>
        <v>0</v>
      </c>
      <c r="AT54" s="31">
        <f t="shared" si="45"/>
        <v>0</v>
      </c>
      <c r="AU54" s="31">
        <f t="shared" si="45"/>
        <v>0</v>
      </c>
      <c r="AW54" s="22">
        <f t="shared" si="14"/>
        <v>0</v>
      </c>
      <c r="AX54" s="22">
        <f t="shared" si="15"/>
        <v>0</v>
      </c>
      <c r="AY54" s="22">
        <f t="shared" si="16"/>
        <v>0</v>
      </c>
      <c r="AZ54" s="22">
        <f t="shared" si="17"/>
        <v>0</v>
      </c>
      <c r="BA54" s="22">
        <f t="shared" si="18"/>
        <v>0</v>
      </c>
      <c r="BB54" s="22">
        <f t="shared" si="19"/>
        <v>0</v>
      </c>
      <c r="BC54" s="22">
        <f t="shared" si="20"/>
        <v>0</v>
      </c>
      <c r="BD54" s="22">
        <f t="shared" si="21"/>
        <v>0</v>
      </c>
      <c r="BE54" s="22">
        <f t="shared" si="22"/>
        <v>0</v>
      </c>
      <c r="BF54" s="22">
        <f t="shared" si="23"/>
        <v>0</v>
      </c>
      <c r="BG54" s="22">
        <f t="shared" si="24"/>
        <v>0</v>
      </c>
      <c r="BH54" s="22">
        <f t="shared" si="25"/>
        <v>0</v>
      </c>
      <c r="BI54" s="22">
        <f t="shared" si="26"/>
        <v>0</v>
      </c>
      <c r="BJ54" s="22">
        <f t="shared" si="27"/>
        <v>0</v>
      </c>
      <c r="BK54" s="22">
        <f t="shared" si="28"/>
        <v>0</v>
      </c>
      <c r="BL54" s="22">
        <f t="shared" si="29"/>
        <v>0</v>
      </c>
      <c r="BM54" s="22" t="str">
        <f t="shared" si="30"/>
        <v>OK</v>
      </c>
    </row>
    <row r="55" spans="1:65">
      <c r="A55" s="29">
        <f>A54</f>
        <v>41095</v>
      </c>
      <c r="B55">
        <f>B54</f>
        <v>0</v>
      </c>
      <c r="C55" t="b">
        <f>VLOOKUP($B55,勤務形態オプション!$A$3:$D$10,C$6,FALSE)</f>
        <v>1</v>
      </c>
      <c r="D55" t="b">
        <f>VLOOKUP($B55,勤務形態オプション!$A$3:$D$10,D$6,FALSE)</f>
        <v>0</v>
      </c>
      <c r="E55" t="b">
        <f>VLOOKUP($B55,勤務形態オプション!$A$3:$D$10,E$6,FALSE)</f>
        <v>0</v>
      </c>
      <c r="F55" s="50">
        <f>F54</f>
        <v>0</v>
      </c>
      <c r="G55" s="50">
        <f>G54</f>
        <v>0</v>
      </c>
      <c r="H55" s="50">
        <f>H54</f>
        <v>0</v>
      </c>
      <c r="I55" s="50">
        <f>I54</f>
        <v>0</v>
      </c>
      <c r="J55" s="58">
        <v>2</v>
      </c>
      <c r="K55" s="50">
        <f>IF(命令簿!D56&lt;&gt;"",命令簿!D56,0)</f>
        <v>0</v>
      </c>
      <c r="L55" s="50">
        <f>IF(命令簿!G56&lt;&gt;"",命令簿!G56,IF(命令簿!F56&lt;&gt;"",命令簿!F56,0))</f>
        <v>0</v>
      </c>
      <c r="M55" s="50">
        <f>IF(命令簿!I56&lt;&gt;"",命令簿!I56,$L55)</f>
        <v>0</v>
      </c>
      <c r="N55" s="50">
        <f>IF(命令簿!I56&lt;&gt;"",命令簿!F56,L55)</f>
        <v>0</v>
      </c>
      <c r="O55" s="50">
        <f t="shared" si="10"/>
        <v>0</v>
      </c>
      <c r="P55" s="355"/>
      <c r="R55" s="31">
        <f t="shared" si="38"/>
        <v>0</v>
      </c>
      <c r="S55" s="31">
        <f t="shared" si="39"/>
        <v>0</v>
      </c>
      <c r="T55" s="31">
        <f t="shared" si="40"/>
        <v>0</v>
      </c>
      <c r="U55" s="31">
        <f t="shared" si="41"/>
        <v>0</v>
      </c>
      <c r="V55" s="31">
        <f t="shared" si="42"/>
        <v>0</v>
      </c>
      <c r="W55" s="31">
        <f t="shared" si="31"/>
        <v>0</v>
      </c>
      <c r="X55" s="31">
        <f t="shared" si="11"/>
        <v>0</v>
      </c>
      <c r="Y55" s="31">
        <f t="shared" si="44"/>
        <v>0</v>
      </c>
      <c r="Z55" s="31">
        <f t="shared" si="44"/>
        <v>0</v>
      </c>
      <c r="AA55" s="31">
        <f t="shared" si="44"/>
        <v>0</v>
      </c>
      <c r="AB55" s="31">
        <f t="shared" si="44"/>
        <v>0</v>
      </c>
      <c r="AC55" s="31">
        <f t="shared" si="35"/>
        <v>0</v>
      </c>
      <c r="AD55" s="31">
        <f t="shared" si="43"/>
        <v>0</v>
      </c>
      <c r="AE55" s="31">
        <f t="shared" si="12"/>
        <v>0</v>
      </c>
      <c r="AF55" s="31">
        <f t="shared" si="36"/>
        <v>0</v>
      </c>
      <c r="AG55" s="31">
        <f t="shared" si="45"/>
        <v>0</v>
      </c>
      <c r="AH55" s="31">
        <f t="shared" si="45"/>
        <v>0</v>
      </c>
      <c r="AI55" s="31">
        <f t="shared" si="45"/>
        <v>0</v>
      </c>
      <c r="AJ55" s="31">
        <f t="shared" si="45"/>
        <v>0</v>
      </c>
      <c r="AK55" s="31">
        <f t="shared" si="45"/>
        <v>0</v>
      </c>
      <c r="AL55" s="31">
        <f t="shared" si="45"/>
        <v>0</v>
      </c>
      <c r="AM55" s="31">
        <f t="shared" si="45"/>
        <v>0</v>
      </c>
      <c r="AN55" s="31">
        <f t="shared" si="45"/>
        <v>0</v>
      </c>
      <c r="AO55" s="31">
        <f t="shared" si="45"/>
        <v>0</v>
      </c>
      <c r="AP55" s="31">
        <f t="shared" si="45"/>
        <v>0</v>
      </c>
      <c r="AQ55" s="31">
        <f t="shared" si="45"/>
        <v>0</v>
      </c>
      <c r="AR55" s="31">
        <f t="shared" si="45"/>
        <v>0</v>
      </c>
      <c r="AS55" s="31">
        <f t="shared" si="45"/>
        <v>0</v>
      </c>
      <c r="AT55" s="31">
        <f t="shared" si="45"/>
        <v>0</v>
      </c>
      <c r="AU55" s="31">
        <f t="shared" si="45"/>
        <v>0</v>
      </c>
      <c r="AW55" s="22">
        <f t="shared" si="14"/>
        <v>0</v>
      </c>
      <c r="AX55" s="22">
        <f t="shared" si="15"/>
        <v>0</v>
      </c>
      <c r="AY55" s="22">
        <f t="shared" si="16"/>
        <v>0</v>
      </c>
      <c r="AZ55" s="22">
        <f t="shared" si="17"/>
        <v>0</v>
      </c>
      <c r="BA55" s="22">
        <f t="shared" si="18"/>
        <v>0</v>
      </c>
      <c r="BB55" s="22">
        <f t="shared" si="19"/>
        <v>0</v>
      </c>
      <c r="BC55" s="22">
        <f t="shared" si="20"/>
        <v>0</v>
      </c>
      <c r="BD55" s="22">
        <f t="shared" si="21"/>
        <v>0</v>
      </c>
      <c r="BE55" s="22">
        <f t="shared" si="22"/>
        <v>0</v>
      </c>
      <c r="BF55" s="22">
        <f t="shared" si="23"/>
        <v>0</v>
      </c>
      <c r="BG55" s="22">
        <f t="shared" si="24"/>
        <v>0</v>
      </c>
      <c r="BH55" s="22">
        <f t="shared" si="25"/>
        <v>0</v>
      </c>
      <c r="BI55" s="22">
        <f t="shared" si="26"/>
        <v>0</v>
      </c>
      <c r="BJ55" s="22">
        <f t="shared" si="27"/>
        <v>0</v>
      </c>
      <c r="BK55" s="22">
        <f t="shared" si="28"/>
        <v>0</v>
      </c>
      <c r="BL55" s="22">
        <f t="shared" si="29"/>
        <v>0</v>
      </c>
      <c r="BM55" s="22" t="str">
        <f t="shared" si="30"/>
        <v>OK</v>
      </c>
    </row>
    <row r="56" spans="1:65">
      <c r="A56" s="29">
        <f>A55</f>
        <v>41095</v>
      </c>
      <c r="B56">
        <f>B55</f>
        <v>0</v>
      </c>
      <c r="C56" t="b">
        <f>VLOOKUP($B56,勤務形態オプション!$A$3:$D$10,C$6,FALSE)</f>
        <v>1</v>
      </c>
      <c r="D56" t="b">
        <f>VLOOKUP($B56,勤務形態オプション!$A$3:$D$10,D$6,FALSE)</f>
        <v>0</v>
      </c>
      <c r="E56" t="b">
        <f>VLOOKUP($B56,勤務形態オプション!$A$3:$D$10,E$6,FALSE)</f>
        <v>0</v>
      </c>
      <c r="F56" s="50">
        <f>F54</f>
        <v>0</v>
      </c>
      <c r="G56" s="50">
        <f>G54</f>
        <v>0</v>
      </c>
      <c r="H56" s="50">
        <f>H54</f>
        <v>0</v>
      </c>
      <c r="I56" s="50">
        <f>I54</f>
        <v>0</v>
      </c>
      <c r="J56" s="58">
        <v>3</v>
      </c>
      <c r="K56" s="50">
        <f>IF(命令簿!D57&lt;&gt;"",命令簿!D57,0)</f>
        <v>0</v>
      </c>
      <c r="L56" s="50">
        <f>IF(命令簿!G57&lt;&gt;"",命令簿!G57,IF(命令簿!F57&lt;&gt;"",命令簿!F57,0))</f>
        <v>0</v>
      </c>
      <c r="M56" s="50">
        <f>IF(命令簿!I57&lt;&gt;"",命令簿!I57,$L56)</f>
        <v>0</v>
      </c>
      <c r="N56" s="50">
        <f>IF(命令簿!I57&lt;&gt;"",命令簿!F57,L56)</f>
        <v>0</v>
      </c>
      <c r="O56" s="50">
        <f t="shared" si="10"/>
        <v>0</v>
      </c>
      <c r="P56" s="355"/>
      <c r="R56" s="31">
        <f t="shared" si="38"/>
        <v>0</v>
      </c>
      <c r="S56" s="31">
        <f t="shared" si="39"/>
        <v>0</v>
      </c>
      <c r="T56" s="31">
        <f t="shared" si="40"/>
        <v>0</v>
      </c>
      <c r="U56" s="31">
        <f t="shared" si="41"/>
        <v>0</v>
      </c>
      <c r="V56" s="31">
        <f t="shared" si="42"/>
        <v>0</v>
      </c>
      <c r="W56" s="31">
        <f t="shared" si="31"/>
        <v>0</v>
      </c>
      <c r="X56" s="31">
        <f t="shared" si="11"/>
        <v>0</v>
      </c>
      <c r="Y56" s="31">
        <f t="shared" si="44"/>
        <v>0</v>
      </c>
      <c r="Z56" s="31">
        <f t="shared" si="44"/>
        <v>0</v>
      </c>
      <c r="AA56" s="31">
        <f t="shared" si="44"/>
        <v>0</v>
      </c>
      <c r="AB56" s="31">
        <f t="shared" si="44"/>
        <v>0</v>
      </c>
      <c r="AC56" s="31">
        <f t="shared" si="35"/>
        <v>0</v>
      </c>
      <c r="AD56" s="31">
        <f t="shared" si="43"/>
        <v>0</v>
      </c>
      <c r="AE56" s="31">
        <f t="shared" si="12"/>
        <v>0</v>
      </c>
      <c r="AF56" s="31">
        <f t="shared" si="36"/>
        <v>0</v>
      </c>
      <c r="AG56" s="31">
        <f t="shared" si="45"/>
        <v>0</v>
      </c>
      <c r="AH56" s="31">
        <f t="shared" si="45"/>
        <v>0</v>
      </c>
      <c r="AI56" s="31">
        <f t="shared" si="45"/>
        <v>0</v>
      </c>
      <c r="AJ56" s="31">
        <f t="shared" si="45"/>
        <v>0</v>
      </c>
      <c r="AK56" s="31">
        <f t="shared" si="45"/>
        <v>0</v>
      </c>
      <c r="AL56" s="31">
        <f t="shared" si="45"/>
        <v>0</v>
      </c>
      <c r="AM56" s="31">
        <f t="shared" si="45"/>
        <v>0</v>
      </c>
      <c r="AN56" s="31">
        <f t="shared" si="45"/>
        <v>0</v>
      </c>
      <c r="AO56" s="31">
        <f t="shared" si="45"/>
        <v>0</v>
      </c>
      <c r="AP56" s="31">
        <f t="shared" si="45"/>
        <v>0</v>
      </c>
      <c r="AQ56" s="31">
        <f t="shared" si="45"/>
        <v>0</v>
      </c>
      <c r="AR56" s="31">
        <f t="shared" si="45"/>
        <v>0</v>
      </c>
      <c r="AS56" s="31">
        <f t="shared" si="45"/>
        <v>0</v>
      </c>
      <c r="AT56" s="31">
        <f t="shared" si="45"/>
        <v>0</v>
      </c>
      <c r="AU56" s="31">
        <f t="shared" si="45"/>
        <v>0</v>
      </c>
      <c r="AW56" s="22">
        <f t="shared" si="14"/>
        <v>0</v>
      </c>
      <c r="AX56" s="22">
        <f t="shared" si="15"/>
        <v>0</v>
      </c>
      <c r="AY56" s="22">
        <f t="shared" si="16"/>
        <v>0</v>
      </c>
      <c r="AZ56" s="22">
        <f t="shared" si="17"/>
        <v>0</v>
      </c>
      <c r="BA56" s="22">
        <f t="shared" si="18"/>
        <v>0</v>
      </c>
      <c r="BB56" s="22">
        <f t="shared" si="19"/>
        <v>0</v>
      </c>
      <c r="BC56" s="22">
        <f t="shared" si="20"/>
        <v>0</v>
      </c>
      <c r="BD56" s="22">
        <f t="shared" si="21"/>
        <v>0</v>
      </c>
      <c r="BE56" s="22">
        <f t="shared" si="22"/>
        <v>0</v>
      </c>
      <c r="BF56" s="22">
        <f t="shared" si="23"/>
        <v>0</v>
      </c>
      <c r="BG56" s="22">
        <f t="shared" si="24"/>
        <v>0</v>
      </c>
      <c r="BH56" s="22">
        <f t="shared" si="25"/>
        <v>0</v>
      </c>
      <c r="BI56" s="22">
        <f t="shared" si="26"/>
        <v>0</v>
      </c>
      <c r="BJ56" s="22">
        <f t="shared" si="27"/>
        <v>0</v>
      </c>
      <c r="BK56" s="22">
        <f t="shared" si="28"/>
        <v>0</v>
      </c>
      <c r="BL56" s="22">
        <f t="shared" si="29"/>
        <v>0</v>
      </c>
      <c r="BM56" s="22" t="str">
        <f t="shared" si="30"/>
        <v>OK</v>
      </c>
    </row>
    <row r="57" spans="1:65">
      <c r="A57" s="29">
        <f>補助簿!B57</f>
        <v>41096</v>
      </c>
      <c r="B57" s="151">
        <f>命令簿!C60</f>
        <v>0</v>
      </c>
      <c r="C57" t="b">
        <f>VLOOKUP($B57,勤務形態オプション!$A$3:$D$10,C$6,FALSE)</f>
        <v>1</v>
      </c>
      <c r="D57" t="b">
        <f>VLOOKUP($B57,勤務形態オプション!$A$3:$D$10,D$6,FALSE)</f>
        <v>0</v>
      </c>
      <c r="E57" t="b">
        <f>VLOOKUP($B57,勤務形態オプション!$A$3:$D$10,E$6,FALSE)</f>
        <v>0</v>
      </c>
      <c r="F57" s="50">
        <f>補助簿!$E57</f>
        <v>0</v>
      </c>
      <c r="G57" s="50">
        <f>補助簿!$F57</f>
        <v>0</v>
      </c>
      <c r="H57" s="50">
        <f>補助簿!$C57</f>
        <v>0</v>
      </c>
      <c r="I57" s="50">
        <f>補助簿!$D57</f>
        <v>0</v>
      </c>
      <c r="J57" s="58">
        <v>1</v>
      </c>
      <c r="K57" s="50">
        <f>IF(命令簿!D58&lt;&gt;"",命令簿!D58,0)</f>
        <v>0</v>
      </c>
      <c r="L57" s="50">
        <f>IF(命令簿!G58&lt;&gt;"",命令簿!G58,IF(命令簿!F58&lt;&gt;"",命令簿!F58,0))</f>
        <v>0</v>
      </c>
      <c r="M57" s="50">
        <f>IF(命令簿!I58&lt;&gt;"",命令簿!I58,$L57)</f>
        <v>0</v>
      </c>
      <c r="N57" s="50">
        <f>IF(命令簿!I58&lt;&gt;"",命令簿!F58,L57)</f>
        <v>0</v>
      </c>
      <c r="O57" s="50">
        <f t="shared" si="10"/>
        <v>0</v>
      </c>
      <c r="P57" s="355">
        <f>SUM(O57:O59)</f>
        <v>0</v>
      </c>
      <c r="R57" s="31">
        <f t="shared" si="38"/>
        <v>0</v>
      </c>
      <c r="S57" s="31">
        <f t="shared" si="39"/>
        <v>0</v>
      </c>
      <c r="T57" s="31">
        <f t="shared" si="40"/>
        <v>0</v>
      </c>
      <c r="U57" s="31">
        <f t="shared" si="41"/>
        <v>0</v>
      </c>
      <c r="V57" s="31">
        <f t="shared" si="42"/>
        <v>0</v>
      </c>
      <c r="W57" s="31">
        <f t="shared" si="31"/>
        <v>0</v>
      </c>
      <c r="X57" s="31">
        <f t="shared" si="11"/>
        <v>0</v>
      </c>
      <c r="Y57" s="31">
        <f t="shared" si="44"/>
        <v>0</v>
      </c>
      <c r="Z57" s="31">
        <f t="shared" si="44"/>
        <v>0</v>
      </c>
      <c r="AA57" s="31">
        <f t="shared" si="44"/>
        <v>0</v>
      </c>
      <c r="AB57" s="31">
        <f t="shared" si="44"/>
        <v>0</v>
      </c>
      <c r="AC57" s="31">
        <f t="shared" ref="AC57:AC80" si="46">R57-Y57</f>
        <v>0</v>
      </c>
      <c r="AD57" s="31">
        <f t="shared" si="43"/>
        <v>0</v>
      </c>
      <c r="AE57" s="31">
        <f t="shared" si="12"/>
        <v>0</v>
      </c>
      <c r="AF57" s="31">
        <f t="shared" si="36"/>
        <v>0</v>
      </c>
      <c r="AG57" s="31">
        <f t="shared" si="45"/>
        <v>0</v>
      </c>
      <c r="AH57" s="31">
        <f t="shared" si="45"/>
        <v>0</v>
      </c>
      <c r="AI57" s="31">
        <f t="shared" si="45"/>
        <v>0</v>
      </c>
      <c r="AJ57" s="31">
        <f t="shared" si="45"/>
        <v>0</v>
      </c>
      <c r="AK57" s="31">
        <f t="shared" si="45"/>
        <v>0</v>
      </c>
      <c r="AL57" s="31">
        <f t="shared" si="45"/>
        <v>0</v>
      </c>
      <c r="AM57" s="31">
        <f t="shared" si="45"/>
        <v>0</v>
      </c>
      <c r="AN57" s="31">
        <f t="shared" si="45"/>
        <v>0</v>
      </c>
      <c r="AO57" s="31">
        <f t="shared" si="45"/>
        <v>0</v>
      </c>
      <c r="AP57" s="31">
        <f t="shared" si="45"/>
        <v>0</v>
      </c>
      <c r="AQ57" s="31">
        <f t="shared" si="45"/>
        <v>0</v>
      </c>
      <c r="AR57" s="31">
        <f t="shared" si="45"/>
        <v>0</v>
      </c>
      <c r="AS57" s="31">
        <f t="shared" si="45"/>
        <v>0</v>
      </c>
      <c r="AT57" s="31">
        <f t="shared" si="45"/>
        <v>0</v>
      </c>
      <c r="AU57" s="31">
        <f t="shared" si="45"/>
        <v>0</v>
      </c>
      <c r="AW57" s="22">
        <f t="shared" si="14"/>
        <v>0</v>
      </c>
      <c r="AX57" s="22">
        <f t="shared" si="15"/>
        <v>0</v>
      </c>
      <c r="AY57" s="22">
        <f t="shared" si="16"/>
        <v>0</v>
      </c>
      <c r="AZ57" s="22">
        <f t="shared" si="17"/>
        <v>0</v>
      </c>
      <c r="BA57" s="22">
        <f t="shared" si="18"/>
        <v>0</v>
      </c>
      <c r="BB57" s="22">
        <f t="shared" si="19"/>
        <v>0</v>
      </c>
      <c r="BC57" s="22">
        <f t="shared" si="20"/>
        <v>0</v>
      </c>
      <c r="BD57" s="22">
        <f t="shared" si="21"/>
        <v>0</v>
      </c>
      <c r="BE57" s="22">
        <f t="shared" si="22"/>
        <v>0</v>
      </c>
      <c r="BF57" s="22">
        <f t="shared" si="23"/>
        <v>0</v>
      </c>
      <c r="BG57" s="22">
        <f t="shared" si="24"/>
        <v>0</v>
      </c>
      <c r="BH57" s="22">
        <f t="shared" si="25"/>
        <v>0</v>
      </c>
      <c r="BI57" s="22">
        <f t="shared" si="26"/>
        <v>0</v>
      </c>
      <c r="BJ57" s="22">
        <f t="shared" si="27"/>
        <v>0</v>
      </c>
      <c r="BK57" s="22">
        <f t="shared" si="28"/>
        <v>0</v>
      </c>
      <c r="BL57" s="22">
        <f t="shared" si="29"/>
        <v>0</v>
      </c>
      <c r="BM57" s="22" t="str">
        <f t="shared" si="30"/>
        <v>OK</v>
      </c>
    </row>
    <row r="58" spans="1:65">
      <c r="A58" s="29">
        <f>A57</f>
        <v>41096</v>
      </c>
      <c r="B58">
        <f>B57</f>
        <v>0</v>
      </c>
      <c r="C58" t="b">
        <f>VLOOKUP($B58,勤務形態オプション!$A$3:$D$10,C$6,FALSE)</f>
        <v>1</v>
      </c>
      <c r="D58" t="b">
        <f>VLOOKUP($B58,勤務形態オプション!$A$3:$D$10,D$6,FALSE)</f>
        <v>0</v>
      </c>
      <c r="E58" t="b">
        <f>VLOOKUP($B58,勤務形態オプション!$A$3:$D$10,E$6,FALSE)</f>
        <v>0</v>
      </c>
      <c r="F58" s="50">
        <f>F57</f>
        <v>0</v>
      </c>
      <c r="G58" s="50">
        <f>G57</f>
        <v>0</v>
      </c>
      <c r="H58" s="50">
        <f>H57</f>
        <v>0</v>
      </c>
      <c r="I58" s="50">
        <f>I57</f>
        <v>0</v>
      </c>
      <c r="J58" s="58">
        <v>2</v>
      </c>
      <c r="K58" s="50">
        <f>IF(命令簿!D59&lt;&gt;"",命令簿!D59,0)</f>
        <v>0</v>
      </c>
      <c r="L58" s="50">
        <f>IF(命令簿!G59&lt;&gt;"",命令簿!G59,IF(命令簿!F59&lt;&gt;"",命令簿!F59,0))</f>
        <v>0</v>
      </c>
      <c r="M58" s="50">
        <f>IF(命令簿!I59&lt;&gt;"",命令簿!I59,$L58)</f>
        <v>0</v>
      </c>
      <c r="N58" s="50">
        <f>IF(命令簿!I59&lt;&gt;"",命令簿!F59,L58)</f>
        <v>0</v>
      </c>
      <c r="O58" s="50">
        <f t="shared" si="10"/>
        <v>0</v>
      </c>
      <c r="P58" s="355"/>
      <c r="R58" s="31">
        <f t="shared" si="38"/>
        <v>0</v>
      </c>
      <c r="S58" s="31">
        <f t="shared" si="39"/>
        <v>0</v>
      </c>
      <c r="T58" s="31">
        <f t="shared" si="40"/>
        <v>0</v>
      </c>
      <c r="U58" s="31">
        <f t="shared" si="41"/>
        <v>0</v>
      </c>
      <c r="V58" s="31">
        <f t="shared" si="42"/>
        <v>0</v>
      </c>
      <c r="W58" s="31">
        <f t="shared" si="31"/>
        <v>0</v>
      </c>
      <c r="X58" s="31">
        <f t="shared" ref="X58:X101" si="47">IF(W58&gt;60,W58-60,0)</f>
        <v>0</v>
      </c>
      <c r="Y58" s="31">
        <f t="shared" si="44"/>
        <v>0</v>
      </c>
      <c r="Z58" s="31">
        <f t="shared" si="44"/>
        <v>0</v>
      </c>
      <c r="AA58" s="31">
        <f t="shared" si="44"/>
        <v>0</v>
      </c>
      <c r="AB58" s="31">
        <f t="shared" si="44"/>
        <v>0</v>
      </c>
      <c r="AC58" s="31">
        <f t="shared" si="46"/>
        <v>0</v>
      </c>
      <c r="AD58" s="31">
        <f t="shared" si="43"/>
        <v>0</v>
      </c>
      <c r="AE58" s="31">
        <f t="shared" ref="AE58:AE101" si="48">T58-AA58</f>
        <v>0</v>
      </c>
      <c r="AF58" s="31">
        <f t="shared" ref="AF58:AF81" si="49">U58-AB58</f>
        <v>0</v>
      </c>
      <c r="AG58" s="31">
        <f t="shared" si="45"/>
        <v>0</v>
      </c>
      <c r="AH58" s="31">
        <f t="shared" si="45"/>
        <v>0</v>
      </c>
      <c r="AI58" s="31">
        <f t="shared" si="45"/>
        <v>0</v>
      </c>
      <c r="AJ58" s="31">
        <f t="shared" si="45"/>
        <v>0</v>
      </c>
      <c r="AK58" s="31">
        <f t="shared" si="45"/>
        <v>0</v>
      </c>
      <c r="AL58" s="31">
        <f t="shared" si="45"/>
        <v>0</v>
      </c>
      <c r="AM58" s="31">
        <f t="shared" si="45"/>
        <v>0</v>
      </c>
      <c r="AN58" s="31">
        <f t="shared" si="45"/>
        <v>0</v>
      </c>
      <c r="AO58" s="31">
        <f t="shared" si="45"/>
        <v>0</v>
      </c>
      <c r="AP58" s="31">
        <f t="shared" si="45"/>
        <v>0</v>
      </c>
      <c r="AQ58" s="31">
        <f t="shared" si="45"/>
        <v>0</v>
      </c>
      <c r="AR58" s="31">
        <f t="shared" si="45"/>
        <v>0</v>
      </c>
      <c r="AS58" s="31">
        <f t="shared" si="45"/>
        <v>0</v>
      </c>
      <c r="AT58" s="31">
        <f t="shared" si="45"/>
        <v>0</v>
      </c>
      <c r="AU58" s="31">
        <f t="shared" si="45"/>
        <v>0</v>
      </c>
      <c r="AW58" s="22">
        <f t="shared" ref="AW58:AW101" si="50">TIME(INT(AG58),(AG58-INT(AG58))*60,0)</f>
        <v>0</v>
      </c>
      <c r="AX58" s="22">
        <f t="shared" ref="AX58:AX101" si="51">TIME(INT(AH58),(AH58-INT(AH58))*60,0)</f>
        <v>0</v>
      </c>
      <c r="AY58" s="22">
        <f t="shared" ref="AY58:AY101" si="52">TIME(INT(AI58),(AI58-INT(AI58))*60,0)</f>
        <v>0</v>
      </c>
      <c r="AZ58" s="22">
        <f t="shared" ref="AZ58:AZ101" si="53">TIME(INT(AJ58),(AJ58-INT(AJ58))*60,0)</f>
        <v>0</v>
      </c>
      <c r="BA58" s="22">
        <f t="shared" ref="BA58:BA101" si="54">TIME(INT(AK58),(AK58-INT(AK58))*60,0)</f>
        <v>0</v>
      </c>
      <c r="BB58" s="22">
        <f t="shared" ref="BB58:BB101" si="55">TIME(INT(AL58),(AL58-INT(AL58))*60,0)</f>
        <v>0</v>
      </c>
      <c r="BC58" s="22">
        <f t="shared" ref="BC58:BC101" si="56">TIME(INT(AM58),(AM58-INT(AM58))*60,0)</f>
        <v>0</v>
      </c>
      <c r="BD58" s="22">
        <f t="shared" ref="BD58:BD101" si="57">TIME(INT(AN58),(AN58-INT(AN58))*60,0)</f>
        <v>0</v>
      </c>
      <c r="BE58" s="22">
        <f t="shared" ref="BE58:BE101" si="58">TIME(INT(AO58),(AO58-INT(AO58))*60,0)</f>
        <v>0</v>
      </c>
      <c r="BF58" s="22">
        <f t="shared" ref="BF58:BF101" si="59">TIME(INT(AP58),(AP58-INT(AP58))*60,0)</f>
        <v>0</v>
      </c>
      <c r="BG58" s="22">
        <f t="shared" ref="BG58:BG101" si="60">TIME(INT(AQ58),(AQ58-INT(AQ58))*60,0)</f>
        <v>0</v>
      </c>
      <c r="BH58" s="22">
        <f t="shared" ref="BH58:BH101" si="61">TIME(INT(AR58),(AR58-INT(AR58))*60,0)</f>
        <v>0</v>
      </c>
      <c r="BI58" s="22">
        <f t="shared" ref="BI58:BI101" si="62">TIME(INT(AS58),(AS58-INT(AS58))*60,0)</f>
        <v>0</v>
      </c>
      <c r="BJ58" s="22">
        <f t="shared" ref="BJ58:BJ101" si="63">TIME(INT(AT58),(AT58-INT(AT58))*60,0)</f>
        <v>0</v>
      </c>
      <c r="BK58" s="22">
        <f t="shared" ref="BK58:BK101" si="64">TIME(INT(AU58),(AU58-INT(AU58))*60,0)</f>
        <v>0</v>
      </c>
      <c r="BL58" s="22">
        <f t="shared" ref="BL58:BL101" si="65">ROUND(SUM(AW58:BK58),5)</f>
        <v>0</v>
      </c>
      <c r="BM58" s="22" t="str">
        <f t="shared" ref="BM58:BM101" si="66">IF(O58&lt;&gt;BL58,"NG","OK")</f>
        <v>OK</v>
      </c>
    </row>
    <row r="59" spans="1:65">
      <c r="A59" s="29">
        <f>A58</f>
        <v>41096</v>
      </c>
      <c r="B59">
        <f>B58</f>
        <v>0</v>
      </c>
      <c r="C59" t="b">
        <f>VLOOKUP($B59,勤務形態オプション!$A$3:$D$10,C$6,FALSE)</f>
        <v>1</v>
      </c>
      <c r="D59" t="b">
        <f>VLOOKUP($B59,勤務形態オプション!$A$3:$D$10,D$6,FALSE)</f>
        <v>0</v>
      </c>
      <c r="E59" t="b">
        <f>VLOOKUP($B59,勤務形態オプション!$A$3:$D$10,E$6,FALSE)</f>
        <v>0</v>
      </c>
      <c r="F59" s="50">
        <f>F57</f>
        <v>0</v>
      </c>
      <c r="G59" s="50">
        <f>G57</f>
        <v>0</v>
      </c>
      <c r="H59" s="50">
        <f>H57</f>
        <v>0</v>
      </c>
      <c r="I59" s="50">
        <f>I57</f>
        <v>0</v>
      </c>
      <c r="J59" s="58">
        <v>3</v>
      </c>
      <c r="K59" s="50">
        <f>IF(命令簿!D60&lt;&gt;"",命令簿!D60,0)</f>
        <v>0</v>
      </c>
      <c r="L59" s="50">
        <f>IF(命令簿!G60&lt;&gt;"",命令簿!G60,IF(命令簿!F60&lt;&gt;"",命令簿!F60,0))</f>
        <v>0</v>
      </c>
      <c r="M59" s="50">
        <f>IF(命令簿!I60&lt;&gt;"",命令簿!I60,$L59)</f>
        <v>0</v>
      </c>
      <c r="N59" s="50">
        <f>IF(命令簿!I60&lt;&gt;"",命令簿!F60,L59)</f>
        <v>0</v>
      </c>
      <c r="O59" s="50">
        <f t="shared" si="10"/>
        <v>0</v>
      </c>
      <c r="P59" s="355"/>
      <c r="R59" s="31">
        <f t="shared" si="38"/>
        <v>0</v>
      </c>
      <c r="S59" s="31">
        <f t="shared" si="39"/>
        <v>0</v>
      </c>
      <c r="T59" s="31">
        <f t="shared" si="40"/>
        <v>0</v>
      </c>
      <c r="U59" s="31">
        <f t="shared" si="41"/>
        <v>0</v>
      </c>
      <c r="V59" s="31">
        <f t="shared" si="42"/>
        <v>0</v>
      </c>
      <c r="W59" s="31">
        <f t="shared" si="31"/>
        <v>0</v>
      </c>
      <c r="X59" s="31">
        <f t="shared" si="47"/>
        <v>0</v>
      </c>
      <c r="Y59" s="31">
        <f t="shared" si="44"/>
        <v>0</v>
      </c>
      <c r="Z59" s="31">
        <f t="shared" si="44"/>
        <v>0</v>
      </c>
      <c r="AA59" s="31">
        <f t="shared" si="44"/>
        <v>0</v>
      </c>
      <c r="AB59" s="31">
        <f t="shared" si="44"/>
        <v>0</v>
      </c>
      <c r="AC59" s="31">
        <f t="shared" si="46"/>
        <v>0</v>
      </c>
      <c r="AD59" s="31">
        <f t="shared" si="43"/>
        <v>0</v>
      </c>
      <c r="AE59" s="31">
        <f t="shared" si="48"/>
        <v>0</v>
      </c>
      <c r="AF59" s="31">
        <f t="shared" si="49"/>
        <v>0</v>
      </c>
      <c r="AG59" s="31">
        <f t="shared" ref="AG59:AU68" si="67">AllocateWorkTime($C59:$I59,$Y59:$AF59,AG$6)</f>
        <v>0</v>
      </c>
      <c r="AH59" s="31">
        <f t="shared" si="67"/>
        <v>0</v>
      </c>
      <c r="AI59" s="31">
        <f t="shared" si="67"/>
        <v>0</v>
      </c>
      <c r="AJ59" s="31">
        <f t="shared" si="67"/>
        <v>0</v>
      </c>
      <c r="AK59" s="31">
        <f t="shared" si="67"/>
        <v>0</v>
      </c>
      <c r="AL59" s="31">
        <f t="shared" si="67"/>
        <v>0</v>
      </c>
      <c r="AM59" s="31">
        <f t="shared" si="67"/>
        <v>0</v>
      </c>
      <c r="AN59" s="31">
        <f t="shared" si="67"/>
        <v>0</v>
      </c>
      <c r="AO59" s="31">
        <f t="shared" si="67"/>
        <v>0</v>
      </c>
      <c r="AP59" s="31">
        <f t="shared" si="67"/>
        <v>0</v>
      </c>
      <c r="AQ59" s="31">
        <f t="shared" si="67"/>
        <v>0</v>
      </c>
      <c r="AR59" s="31">
        <f t="shared" si="67"/>
        <v>0</v>
      </c>
      <c r="AS59" s="31">
        <f t="shared" si="67"/>
        <v>0</v>
      </c>
      <c r="AT59" s="31">
        <f t="shared" si="67"/>
        <v>0</v>
      </c>
      <c r="AU59" s="31">
        <f t="shared" si="67"/>
        <v>0</v>
      </c>
      <c r="AW59" s="22">
        <f t="shared" si="50"/>
        <v>0</v>
      </c>
      <c r="AX59" s="22">
        <f t="shared" si="51"/>
        <v>0</v>
      </c>
      <c r="AY59" s="22">
        <f t="shared" si="52"/>
        <v>0</v>
      </c>
      <c r="AZ59" s="22">
        <f t="shared" si="53"/>
        <v>0</v>
      </c>
      <c r="BA59" s="22">
        <f t="shared" si="54"/>
        <v>0</v>
      </c>
      <c r="BB59" s="22">
        <f t="shared" si="55"/>
        <v>0</v>
      </c>
      <c r="BC59" s="22">
        <f t="shared" si="56"/>
        <v>0</v>
      </c>
      <c r="BD59" s="22">
        <f t="shared" si="57"/>
        <v>0</v>
      </c>
      <c r="BE59" s="22">
        <f t="shared" si="58"/>
        <v>0</v>
      </c>
      <c r="BF59" s="22">
        <f t="shared" si="59"/>
        <v>0</v>
      </c>
      <c r="BG59" s="22">
        <f t="shared" si="60"/>
        <v>0</v>
      </c>
      <c r="BH59" s="22">
        <f t="shared" si="61"/>
        <v>0</v>
      </c>
      <c r="BI59" s="22">
        <f t="shared" si="62"/>
        <v>0</v>
      </c>
      <c r="BJ59" s="22">
        <f t="shared" si="63"/>
        <v>0</v>
      </c>
      <c r="BK59" s="22">
        <f t="shared" si="64"/>
        <v>0</v>
      </c>
      <c r="BL59" s="22">
        <f t="shared" si="65"/>
        <v>0</v>
      </c>
      <c r="BM59" s="22" t="str">
        <f t="shared" si="66"/>
        <v>OK</v>
      </c>
    </row>
    <row r="60" spans="1:65">
      <c r="A60" s="29">
        <f>補助簿!B60</f>
        <v>41097</v>
      </c>
      <c r="B60" s="150">
        <f>命令簿!C63</f>
        <v>0</v>
      </c>
      <c r="C60" t="b">
        <f>VLOOKUP($B60,勤務形態オプション!$A$3:$D$10,C$6,FALSE)</f>
        <v>1</v>
      </c>
      <c r="D60" t="b">
        <f>VLOOKUP($B60,勤務形態オプション!$A$3:$D$10,D$6,FALSE)</f>
        <v>0</v>
      </c>
      <c r="E60" t="b">
        <f>VLOOKUP($B60,勤務形態オプション!$A$3:$D$10,E$6,FALSE)</f>
        <v>0</v>
      </c>
      <c r="F60" s="50">
        <f>補助簿!$E60</f>
        <v>0</v>
      </c>
      <c r="G60" s="50">
        <f>補助簿!$F60</f>
        <v>0</v>
      </c>
      <c r="H60" s="50">
        <f>補助簿!$C60</f>
        <v>0</v>
      </c>
      <c r="I60" s="50">
        <f>補助簿!$D60</f>
        <v>0</v>
      </c>
      <c r="J60" s="58">
        <v>1</v>
      </c>
      <c r="K60" s="50">
        <f>IF(命令簿!D61&lt;&gt;"",命令簿!D61,0)</f>
        <v>0</v>
      </c>
      <c r="L60" s="50">
        <f>IF(命令簿!G61&lt;&gt;"",命令簿!G61,IF(命令簿!F61&lt;&gt;"",命令簿!F61,0))</f>
        <v>0</v>
      </c>
      <c r="M60" s="50">
        <f>IF(命令簿!I61&lt;&gt;"",命令簿!I61,$L60)</f>
        <v>0</v>
      </c>
      <c r="N60" s="50">
        <f>IF(命令簿!I61&lt;&gt;"",命令簿!F61,L60)</f>
        <v>0</v>
      </c>
      <c r="O60" s="50">
        <f t="shared" si="10"/>
        <v>0</v>
      </c>
      <c r="P60" s="355">
        <f>SUM(O60:O62)</f>
        <v>0</v>
      </c>
      <c r="R60" s="31">
        <f t="shared" si="38"/>
        <v>0</v>
      </c>
      <c r="S60" s="31">
        <f t="shared" si="39"/>
        <v>0</v>
      </c>
      <c r="T60" s="31">
        <f t="shared" si="40"/>
        <v>0</v>
      </c>
      <c r="U60" s="31">
        <f t="shared" si="41"/>
        <v>0</v>
      </c>
      <c r="V60" s="31">
        <f t="shared" si="42"/>
        <v>0</v>
      </c>
      <c r="W60" s="31">
        <f t="shared" si="31"/>
        <v>0</v>
      </c>
      <c r="X60" s="31">
        <f t="shared" si="47"/>
        <v>0</v>
      </c>
      <c r="Y60" s="31">
        <f t="shared" si="44"/>
        <v>0</v>
      </c>
      <c r="Z60" s="31">
        <f t="shared" si="44"/>
        <v>0</v>
      </c>
      <c r="AA60" s="31">
        <f t="shared" si="44"/>
        <v>0</v>
      </c>
      <c r="AB60" s="31">
        <f t="shared" si="44"/>
        <v>0</v>
      </c>
      <c r="AC60" s="31">
        <f t="shared" si="46"/>
        <v>0</v>
      </c>
      <c r="AD60" s="31">
        <f t="shared" si="43"/>
        <v>0</v>
      </c>
      <c r="AE60" s="31">
        <f t="shared" si="48"/>
        <v>0</v>
      </c>
      <c r="AF60" s="31">
        <f t="shared" si="49"/>
        <v>0</v>
      </c>
      <c r="AG60" s="31">
        <f t="shared" si="67"/>
        <v>0</v>
      </c>
      <c r="AH60" s="31">
        <f t="shared" si="67"/>
        <v>0</v>
      </c>
      <c r="AI60" s="31">
        <f t="shared" si="67"/>
        <v>0</v>
      </c>
      <c r="AJ60" s="31">
        <f t="shared" si="67"/>
        <v>0</v>
      </c>
      <c r="AK60" s="31">
        <f t="shared" si="67"/>
        <v>0</v>
      </c>
      <c r="AL60" s="31">
        <f t="shared" si="67"/>
        <v>0</v>
      </c>
      <c r="AM60" s="31">
        <f t="shared" si="67"/>
        <v>0</v>
      </c>
      <c r="AN60" s="31">
        <f t="shared" si="67"/>
        <v>0</v>
      </c>
      <c r="AO60" s="31">
        <f t="shared" si="67"/>
        <v>0</v>
      </c>
      <c r="AP60" s="31">
        <f t="shared" si="67"/>
        <v>0</v>
      </c>
      <c r="AQ60" s="31">
        <f t="shared" si="67"/>
        <v>0</v>
      </c>
      <c r="AR60" s="31">
        <f t="shared" si="67"/>
        <v>0</v>
      </c>
      <c r="AS60" s="31">
        <f t="shared" si="67"/>
        <v>0</v>
      </c>
      <c r="AT60" s="31">
        <f t="shared" si="67"/>
        <v>0</v>
      </c>
      <c r="AU60" s="31">
        <f t="shared" si="67"/>
        <v>0</v>
      </c>
      <c r="AW60" s="22">
        <f t="shared" si="50"/>
        <v>0</v>
      </c>
      <c r="AX60" s="22">
        <f t="shared" si="51"/>
        <v>0</v>
      </c>
      <c r="AY60" s="22">
        <f t="shared" si="52"/>
        <v>0</v>
      </c>
      <c r="AZ60" s="22">
        <f t="shared" si="53"/>
        <v>0</v>
      </c>
      <c r="BA60" s="22">
        <f t="shared" si="54"/>
        <v>0</v>
      </c>
      <c r="BB60" s="22">
        <f t="shared" si="55"/>
        <v>0</v>
      </c>
      <c r="BC60" s="22">
        <f t="shared" si="56"/>
        <v>0</v>
      </c>
      <c r="BD60" s="22">
        <f t="shared" si="57"/>
        <v>0</v>
      </c>
      <c r="BE60" s="22">
        <f t="shared" si="58"/>
        <v>0</v>
      </c>
      <c r="BF60" s="22">
        <f t="shared" si="59"/>
        <v>0</v>
      </c>
      <c r="BG60" s="22">
        <f t="shared" si="60"/>
        <v>0</v>
      </c>
      <c r="BH60" s="22">
        <f t="shared" si="61"/>
        <v>0</v>
      </c>
      <c r="BI60" s="22">
        <f t="shared" si="62"/>
        <v>0</v>
      </c>
      <c r="BJ60" s="22">
        <f t="shared" si="63"/>
        <v>0</v>
      </c>
      <c r="BK60" s="22">
        <f t="shared" si="64"/>
        <v>0</v>
      </c>
      <c r="BL60" s="22">
        <f t="shared" si="65"/>
        <v>0</v>
      </c>
      <c r="BM60" s="22" t="str">
        <f t="shared" si="66"/>
        <v>OK</v>
      </c>
    </row>
    <row r="61" spans="1:65">
      <c r="A61" s="29">
        <f>A60</f>
        <v>41097</v>
      </c>
      <c r="B61">
        <f>B60</f>
        <v>0</v>
      </c>
      <c r="C61" t="b">
        <f>VLOOKUP($B61,勤務形態オプション!$A$3:$D$10,C$6,FALSE)</f>
        <v>1</v>
      </c>
      <c r="D61" t="b">
        <f>VLOOKUP($B61,勤務形態オプション!$A$3:$D$10,D$6,FALSE)</f>
        <v>0</v>
      </c>
      <c r="E61" t="b">
        <f>VLOOKUP($B61,勤務形態オプション!$A$3:$D$10,E$6,FALSE)</f>
        <v>0</v>
      </c>
      <c r="F61" s="50">
        <f>F60</f>
        <v>0</v>
      </c>
      <c r="G61" s="50">
        <f>G60</f>
        <v>0</v>
      </c>
      <c r="H61" s="50">
        <f>H60</f>
        <v>0</v>
      </c>
      <c r="I61" s="50">
        <f>I60</f>
        <v>0</v>
      </c>
      <c r="J61" s="58">
        <v>2</v>
      </c>
      <c r="K61" s="50">
        <f>IF(命令簿!D62&lt;&gt;"",命令簿!D62,0)</f>
        <v>0</v>
      </c>
      <c r="L61" s="50">
        <f>IF(命令簿!G62&lt;&gt;"",命令簿!G62,IF(命令簿!F62&lt;&gt;"",命令簿!F62,0))</f>
        <v>0</v>
      </c>
      <c r="M61" s="50">
        <f>IF(命令簿!I62&lt;&gt;"",命令簿!I62,$L61)</f>
        <v>0</v>
      </c>
      <c r="N61" s="50">
        <f>IF(命令簿!I62&lt;&gt;"",命令簿!F62,L61)</f>
        <v>0</v>
      </c>
      <c r="O61" s="50">
        <f t="shared" si="10"/>
        <v>0</v>
      </c>
      <c r="P61" s="355"/>
      <c r="R61" s="31">
        <f t="shared" si="38"/>
        <v>0</v>
      </c>
      <c r="S61" s="31">
        <f t="shared" si="39"/>
        <v>0</v>
      </c>
      <c r="T61" s="31">
        <f t="shared" si="40"/>
        <v>0</v>
      </c>
      <c r="U61" s="31">
        <f t="shared" si="41"/>
        <v>0</v>
      </c>
      <c r="V61" s="31">
        <f t="shared" si="42"/>
        <v>0</v>
      </c>
      <c r="W61" s="31">
        <f t="shared" si="31"/>
        <v>0</v>
      </c>
      <c r="X61" s="31">
        <f t="shared" si="47"/>
        <v>0</v>
      </c>
      <c r="Y61" s="31">
        <f t="shared" si="44"/>
        <v>0</v>
      </c>
      <c r="Z61" s="31">
        <f t="shared" si="44"/>
        <v>0</v>
      </c>
      <c r="AA61" s="31">
        <f t="shared" si="44"/>
        <v>0</v>
      </c>
      <c r="AB61" s="31">
        <f t="shared" si="44"/>
        <v>0</v>
      </c>
      <c r="AC61" s="31">
        <f t="shared" si="46"/>
        <v>0</v>
      </c>
      <c r="AD61" s="31">
        <f t="shared" si="43"/>
        <v>0</v>
      </c>
      <c r="AE61" s="31">
        <f t="shared" si="48"/>
        <v>0</v>
      </c>
      <c r="AF61" s="31">
        <f t="shared" si="49"/>
        <v>0</v>
      </c>
      <c r="AG61" s="31">
        <f t="shared" si="67"/>
        <v>0</v>
      </c>
      <c r="AH61" s="31">
        <f t="shared" si="67"/>
        <v>0</v>
      </c>
      <c r="AI61" s="31">
        <f t="shared" si="67"/>
        <v>0</v>
      </c>
      <c r="AJ61" s="31">
        <f t="shared" si="67"/>
        <v>0</v>
      </c>
      <c r="AK61" s="31">
        <f t="shared" si="67"/>
        <v>0</v>
      </c>
      <c r="AL61" s="31">
        <f t="shared" si="67"/>
        <v>0</v>
      </c>
      <c r="AM61" s="31">
        <f t="shared" si="67"/>
        <v>0</v>
      </c>
      <c r="AN61" s="31">
        <f t="shared" si="67"/>
        <v>0</v>
      </c>
      <c r="AO61" s="31">
        <f t="shared" si="67"/>
        <v>0</v>
      </c>
      <c r="AP61" s="31">
        <f t="shared" si="67"/>
        <v>0</v>
      </c>
      <c r="AQ61" s="31">
        <f t="shared" si="67"/>
        <v>0</v>
      </c>
      <c r="AR61" s="31">
        <f t="shared" si="67"/>
        <v>0</v>
      </c>
      <c r="AS61" s="31">
        <f t="shared" si="67"/>
        <v>0</v>
      </c>
      <c r="AT61" s="31">
        <f t="shared" si="67"/>
        <v>0</v>
      </c>
      <c r="AU61" s="31">
        <f t="shared" si="67"/>
        <v>0</v>
      </c>
      <c r="AW61" s="22">
        <f t="shared" si="50"/>
        <v>0</v>
      </c>
      <c r="AX61" s="22">
        <f t="shared" si="51"/>
        <v>0</v>
      </c>
      <c r="AY61" s="22">
        <f t="shared" si="52"/>
        <v>0</v>
      </c>
      <c r="AZ61" s="22">
        <f t="shared" si="53"/>
        <v>0</v>
      </c>
      <c r="BA61" s="22">
        <f t="shared" si="54"/>
        <v>0</v>
      </c>
      <c r="BB61" s="22">
        <f t="shared" si="55"/>
        <v>0</v>
      </c>
      <c r="BC61" s="22">
        <f t="shared" si="56"/>
        <v>0</v>
      </c>
      <c r="BD61" s="22">
        <f t="shared" si="57"/>
        <v>0</v>
      </c>
      <c r="BE61" s="22">
        <f t="shared" si="58"/>
        <v>0</v>
      </c>
      <c r="BF61" s="22">
        <f t="shared" si="59"/>
        <v>0</v>
      </c>
      <c r="BG61" s="22">
        <f t="shared" si="60"/>
        <v>0</v>
      </c>
      <c r="BH61" s="22">
        <f t="shared" si="61"/>
        <v>0</v>
      </c>
      <c r="BI61" s="22">
        <f t="shared" si="62"/>
        <v>0</v>
      </c>
      <c r="BJ61" s="22">
        <f t="shared" si="63"/>
        <v>0</v>
      </c>
      <c r="BK61" s="22">
        <f t="shared" si="64"/>
        <v>0</v>
      </c>
      <c r="BL61" s="22">
        <f t="shared" si="65"/>
        <v>0</v>
      </c>
      <c r="BM61" s="22" t="str">
        <f t="shared" si="66"/>
        <v>OK</v>
      </c>
    </row>
    <row r="62" spans="1:65">
      <c r="A62" s="29">
        <f>A61</f>
        <v>41097</v>
      </c>
      <c r="B62">
        <f>B61</f>
        <v>0</v>
      </c>
      <c r="C62" t="b">
        <f>VLOOKUP($B62,勤務形態オプション!$A$3:$D$10,C$6,FALSE)</f>
        <v>1</v>
      </c>
      <c r="D62" t="b">
        <f>VLOOKUP($B62,勤務形態オプション!$A$3:$D$10,D$6,FALSE)</f>
        <v>0</v>
      </c>
      <c r="E62" t="b">
        <f>VLOOKUP($B62,勤務形態オプション!$A$3:$D$10,E$6,FALSE)</f>
        <v>0</v>
      </c>
      <c r="F62" s="50">
        <f>F60</f>
        <v>0</v>
      </c>
      <c r="G62" s="50">
        <f>G60</f>
        <v>0</v>
      </c>
      <c r="H62" s="50">
        <f>H60</f>
        <v>0</v>
      </c>
      <c r="I62" s="50">
        <f>I60</f>
        <v>0</v>
      </c>
      <c r="J62" s="58">
        <v>3</v>
      </c>
      <c r="K62" s="50">
        <f>IF(命令簿!D63&lt;&gt;"",命令簿!D63,0)</f>
        <v>0</v>
      </c>
      <c r="L62" s="50">
        <f>IF(命令簿!G63&lt;&gt;"",命令簿!G63,IF(命令簿!F63&lt;&gt;"",命令簿!F63,0))</f>
        <v>0</v>
      </c>
      <c r="M62" s="50">
        <f>IF(命令簿!I63&lt;&gt;"",命令簿!I63,$L62)</f>
        <v>0</v>
      </c>
      <c r="N62" s="50">
        <f>IF(命令簿!I63&lt;&gt;"",命令簿!F63,L62)</f>
        <v>0</v>
      </c>
      <c r="O62" s="50">
        <f t="shared" si="10"/>
        <v>0</v>
      </c>
      <c r="P62" s="355"/>
      <c r="R62" s="31">
        <f t="shared" si="38"/>
        <v>0</v>
      </c>
      <c r="S62" s="31">
        <f t="shared" si="39"/>
        <v>0</v>
      </c>
      <c r="T62" s="31">
        <f t="shared" si="40"/>
        <v>0</v>
      </c>
      <c r="U62" s="31">
        <f t="shared" si="41"/>
        <v>0</v>
      </c>
      <c r="V62" s="31">
        <f t="shared" si="42"/>
        <v>0</v>
      </c>
      <c r="W62" s="31">
        <f t="shared" si="31"/>
        <v>0</v>
      </c>
      <c r="X62" s="31">
        <f t="shared" si="47"/>
        <v>0</v>
      </c>
      <c r="Y62" s="31">
        <f t="shared" si="44"/>
        <v>0</v>
      </c>
      <c r="Z62" s="31">
        <f t="shared" si="44"/>
        <v>0</v>
      </c>
      <c r="AA62" s="31">
        <f t="shared" si="44"/>
        <v>0</v>
      </c>
      <c r="AB62" s="31">
        <f t="shared" si="44"/>
        <v>0</v>
      </c>
      <c r="AC62" s="31">
        <f t="shared" si="46"/>
        <v>0</v>
      </c>
      <c r="AD62" s="31">
        <f t="shared" si="43"/>
        <v>0</v>
      </c>
      <c r="AE62" s="31">
        <f t="shared" si="48"/>
        <v>0</v>
      </c>
      <c r="AF62" s="31">
        <f t="shared" si="49"/>
        <v>0</v>
      </c>
      <c r="AG62" s="31">
        <f t="shared" si="67"/>
        <v>0</v>
      </c>
      <c r="AH62" s="31">
        <f t="shared" si="67"/>
        <v>0</v>
      </c>
      <c r="AI62" s="31">
        <f t="shared" si="67"/>
        <v>0</v>
      </c>
      <c r="AJ62" s="31">
        <f t="shared" si="67"/>
        <v>0</v>
      </c>
      <c r="AK62" s="31">
        <f t="shared" si="67"/>
        <v>0</v>
      </c>
      <c r="AL62" s="31">
        <f t="shared" si="67"/>
        <v>0</v>
      </c>
      <c r="AM62" s="31">
        <f t="shared" si="67"/>
        <v>0</v>
      </c>
      <c r="AN62" s="31">
        <f t="shared" si="67"/>
        <v>0</v>
      </c>
      <c r="AO62" s="31">
        <f t="shared" si="67"/>
        <v>0</v>
      </c>
      <c r="AP62" s="31">
        <f t="shared" si="67"/>
        <v>0</v>
      </c>
      <c r="AQ62" s="31">
        <f t="shared" si="67"/>
        <v>0</v>
      </c>
      <c r="AR62" s="31">
        <f t="shared" si="67"/>
        <v>0</v>
      </c>
      <c r="AS62" s="31">
        <f t="shared" si="67"/>
        <v>0</v>
      </c>
      <c r="AT62" s="31">
        <f t="shared" si="67"/>
        <v>0</v>
      </c>
      <c r="AU62" s="31">
        <f t="shared" si="67"/>
        <v>0</v>
      </c>
      <c r="AW62" s="22">
        <f t="shared" si="50"/>
        <v>0</v>
      </c>
      <c r="AX62" s="22">
        <f t="shared" si="51"/>
        <v>0</v>
      </c>
      <c r="AY62" s="22">
        <f t="shared" si="52"/>
        <v>0</v>
      </c>
      <c r="AZ62" s="22">
        <f t="shared" si="53"/>
        <v>0</v>
      </c>
      <c r="BA62" s="22">
        <f t="shared" si="54"/>
        <v>0</v>
      </c>
      <c r="BB62" s="22">
        <f t="shared" si="55"/>
        <v>0</v>
      </c>
      <c r="BC62" s="22">
        <f t="shared" si="56"/>
        <v>0</v>
      </c>
      <c r="BD62" s="22">
        <f t="shared" si="57"/>
        <v>0</v>
      </c>
      <c r="BE62" s="22">
        <f t="shared" si="58"/>
        <v>0</v>
      </c>
      <c r="BF62" s="22">
        <f t="shared" si="59"/>
        <v>0</v>
      </c>
      <c r="BG62" s="22">
        <f t="shared" si="60"/>
        <v>0</v>
      </c>
      <c r="BH62" s="22">
        <f t="shared" si="61"/>
        <v>0</v>
      </c>
      <c r="BI62" s="22">
        <f t="shared" si="62"/>
        <v>0</v>
      </c>
      <c r="BJ62" s="22">
        <f t="shared" si="63"/>
        <v>0</v>
      </c>
      <c r="BK62" s="22">
        <f t="shared" si="64"/>
        <v>0</v>
      </c>
      <c r="BL62" s="22">
        <f t="shared" si="65"/>
        <v>0</v>
      </c>
      <c r="BM62" s="22" t="str">
        <f t="shared" si="66"/>
        <v>OK</v>
      </c>
    </row>
    <row r="63" spans="1:65">
      <c r="A63" s="29">
        <f>補助簿!B63</f>
        <v>41098</v>
      </c>
      <c r="B63" s="151">
        <f>命令簿!C66</f>
        <v>0</v>
      </c>
      <c r="C63" t="b">
        <f>VLOOKUP($B63,勤務形態オプション!$A$3:$D$10,C$6,FALSE)</f>
        <v>1</v>
      </c>
      <c r="D63" t="b">
        <f>VLOOKUP($B63,勤務形態オプション!$A$3:$D$10,D$6,FALSE)</f>
        <v>0</v>
      </c>
      <c r="E63" t="b">
        <f>VLOOKUP($B63,勤務形態オプション!$A$3:$D$10,E$6,FALSE)</f>
        <v>0</v>
      </c>
      <c r="F63" s="50">
        <f>補助簿!$E63</f>
        <v>0</v>
      </c>
      <c r="G63" s="50">
        <f>補助簿!$F63</f>
        <v>0</v>
      </c>
      <c r="H63" s="50">
        <f>補助簿!$C63</f>
        <v>0</v>
      </c>
      <c r="I63" s="50">
        <f>補助簿!$D63</f>
        <v>0</v>
      </c>
      <c r="J63" s="58">
        <v>1</v>
      </c>
      <c r="K63" s="50">
        <f>IF(命令簿!D64&lt;&gt;"",命令簿!D64,0)</f>
        <v>0</v>
      </c>
      <c r="L63" s="50">
        <f>IF(命令簿!G64&lt;&gt;"",命令簿!G64,IF(命令簿!F64&lt;&gt;"",命令簿!F64,0))</f>
        <v>0</v>
      </c>
      <c r="M63" s="50">
        <f>IF(命令簿!I64&lt;&gt;"",命令簿!I64,$L63)</f>
        <v>0</v>
      </c>
      <c r="N63" s="50">
        <f>IF(命令簿!I64&lt;&gt;"",命令簿!F64,L63)</f>
        <v>0</v>
      </c>
      <c r="O63" s="50">
        <f t="shared" si="10"/>
        <v>0</v>
      </c>
      <c r="P63" s="355">
        <f>SUM(O63:O65)</f>
        <v>0</v>
      </c>
      <c r="R63" s="31">
        <f t="shared" si="38"/>
        <v>0</v>
      </c>
      <c r="S63" s="31">
        <f t="shared" si="39"/>
        <v>0</v>
      </c>
      <c r="T63" s="31">
        <f t="shared" si="40"/>
        <v>0</v>
      </c>
      <c r="U63" s="31">
        <f t="shared" si="41"/>
        <v>0</v>
      </c>
      <c r="V63" s="31">
        <f t="shared" si="42"/>
        <v>0</v>
      </c>
      <c r="W63" s="31">
        <f t="shared" si="31"/>
        <v>0</v>
      </c>
      <c r="X63" s="31">
        <f t="shared" si="47"/>
        <v>0</v>
      </c>
      <c r="Y63" s="31">
        <f t="shared" si="44"/>
        <v>0</v>
      </c>
      <c r="Z63" s="31">
        <f t="shared" si="44"/>
        <v>0</v>
      </c>
      <c r="AA63" s="31">
        <f t="shared" si="44"/>
        <v>0</v>
      </c>
      <c r="AB63" s="31">
        <f t="shared" si="44"/>
        <v>0</v>
      </c>
      <c r="AC63" s="31">
        <f t="shared" si="46"/>
        <v>0</v>
      </c>
      <c r="AD63" s="31">
        <f t="shared" si="43"/>
        <v>0</v>
      </c>
      <c r="AE63" s="31">
        <f t="shared" si="48"/>
        <v>0</v>
      </c>
      <c r="AF63" s="31">
        <f t="shared" si="49"/>
        <v>0</v>
      </c>
      <c r="AG63" s="31">
        <f t="shared" si="67"/>
        <v>0</v>
      </c>
      <c r="AH63" s="31">
        <f t="shared" si="67"/>
        <v>0</v>
      </c>
      <c r="AI63" s="31">
        <f t="shared" si="67"/>
        <v>0</v>
      </c>
      <c r="AJ63" s="31">
        <f t="shared" si="67"/>
        <v>0</v>
      </c>
      <c r="AK63" s="31">
        <f t="shared" si="67"/>
        <v>0</v>
      </c>
      <c r="AL63" s="31">
        <f t="shared" si="67"/>
        <v>0</v>
      </c>
      <c r="AM63" s="31">
        <f t="shared" si="67"/>
        <v>0</v>
      </c>
      <c r="AN63" s="31">
        <f t="shared" si="67"/>
        <v>0</v>
      </c>
      <c r="AO63" s="31">
        <f t="shared" si="67"/>
        <v>0</v>
      </c>
      <c r="AP63" s="31">
        <f t="shared" si="67"/>
        <v>0</v>
      </c>
      <c r="AQ63" s="31">
        <f t="shared" si="67"/>
        <v>0</v>
      </c>
      <c r="AR63" s="31">
        <f t="shared" si="67"/>
        <v>0</v>
      </c>
      <c r="AS63" s="31">
        <f t="shared" si="67"/>
        <v>0</v>
      </c>
      <c r="AT63" s="31">
        <f t="shared" si="67"/>
        <v>0</v>
      </c>
      <c r="AU63" s="31">
        <f t="shared" si="67"/>
        <v>0</v>
      </c>
      <c r="AW63" s="22">
        <f t="shared" si="50"/>
        <v>0</v>
      </c>
      <c r="AX63" s="22">
        <f t="shared" si="51"/>
        <v>0</v>
      </c>
      <c r="AY63" s="22">
        <f t="shared" si="52"/>
        <v>0</v>
      </c>
      <c r="AZ63" s="22">
        <f t="shared" si="53"/>
        <v>0</v>
      </c>
      <c r="BA63" s="22">
        <f t="shared" si="54"/>
        <v>0</v>
      </c>
      <c r="BB63" s="22">
        <f t="shared" si="55"/>
        <v>0</v>
      </c>
      <c r="BC63" s="22">
        <f t="shared" si="56"/>
        <v>0</v>
      </c>
      <c r="BD63" s="22">
        <f t="shared" si="57"/>
        <v>0</v>
      </c>
      <c r="BE63" s="22">
        <f t="shared" si="58"/>
        <v>0</v>
      </c>
      <c r="BF63" s="22">
        <f t="shared" si="59"/>
        <v>0</v>
      </c>
      <c r="BG63" s="22">
        <f t="shared" si="60"/>
        <v>0</v>
      </c>
      <c r="BH63" s="22">
        <f t="shared" si="61"/>
        <v>0</v>
      </c>
      <c r="BI63" s="22">
        <f t="shared" si="62"/>
        <v>0</v>
      </c>
      <c r="BJ63" s="22">
        <f t="shared" si="63"/>
        <v>0</v>
      </c>
      <c r="BK63" s="22">
        <f t="shared" si="64"/>
        <v>0</v>
      </c>
      <c r="BL63" s="22">
        <f t="shared" si="65"/>
        <v>0</v>
      </c>
      <c r="BM63" s="22" t="str">
        <f t="shared" si="66"/>
        <v>OK</v>
      </c>
    </row>
    <row r="64" spans="1:65">
      <c r="A64" s="29">
        <f>A63</f>
        <v>41098</v>
      </c>
      <c r="B64">
        <f>B63</f>
        <v>0</v>
      </c>
      <c r="C64" t="b">
        <f>VLOOKUP($B64,勤務形態オプション!$A$3:$D$10,C$6,FALSE)</f>
        <v>1</v>
      </c>
      <c r="D64" t="b">
        <f>VLOOKUP($B64,勤務形態オプション!$A$3:$D$10,D$6,FALSE)</f>
        <v>0</v>
      </c>
      <c r="E64" t="b">
        <f>VLOOKUP($B64,勤務形態オプション!$A$3:$D$10,E$6,FALSE)</f>
        <v>0</v>
      </c>
      <c r="F64" s="50">
        <f>F63</f>
        <v>0</v>
      </c>
      <c r="G64" s="50">
        <f>G63</f>
        <v>0</v>
      </c>
      <c r="H64" s="50">
        <f>H63</f>
        <v>0</v>
      </c>
      <c r="I64" s="50">
        <f>I63</f>
        <v>0</v>
      </c>
      <c r="J64" s="58">
        <v>2</v>
      </c>
      <c r="K64" s="50">
        <f>IF(命令簿!D65&lt;&gt;"",命令簿!D65,0)</f>
        <v>0</v>
      </c>
      <c r="L64" s="50">
        <f>IF(命令簿!G65&lt;&gt;"",命令簿!G65,IF(命令簿!F65&lt;&gt;"",命令簿!F65,0))</f>
        <v>0</v>
      </c>
      <c r="M64" s="50">
        <f>IF(命令簿!I65&lt;&gt;"",命令簿!I65,$L64)</f>
        <v>0</v>
      </c>
      <c r="N64" s="50">
        <f>IF(命令簿!I65&lt;&gt;"",命令簿!F65,L64)</f>
        <v>0</v>
      </c>
      <c r="O64" s="50">
        <f t="shared" si="10"/>
        <v>0</v>
      </c>
      <c r="P64" s="355"/>
      <c r="R64" s="31">
        <f t="shared" si="38"/>
        <v>0</v>
      </c>
      <c r="S64" s="31">
        <f t="shared" si="39"/>
        <v>0</v>
      </c>
      <c r="T64" s="31">
        <f t="shared" si="40"/>
        <v>0</v>
      </c>
      <c r="U64" s="31">
        <f t="shared" si="41"/>
        <v>0</v>
      </c>
      <c r="V64" s="31">
        <f t="shared" si="42"/>
        <v>0</v>
      </c>
      <c r="W64" s="31">
        <f t="shared" si="31"/>
        <v>0</v>
      </c>
      <c r="X64" s="31">
        <f t="shared" si="47"/>
        <v>0</v>
      </c>
      <c r="Y64" s="31">
        <f t="shared" si="44"/>
        <v>0</v>
      </c>
      <c r="Z64" s="31">
        <f t="shared" si="44"/>
        <v>0</v>
      </c>
      <c r="AA64" s="31">
        <f t="shared" si="44"/>
        <v>0</v>
      </c>
      <c r="AB64" s="31">
        <f t="shared" si="44"/>
        <v>0</v>
      </c>
      <c r="AC64" s="31">
        <f t="shared" si="46"/>
        <v>0</v>
      </c>
      <c r="AD64" s="31">
        <f t="shared" si="43"/>
        <v>0</v>
      </c>
      <c r="AE64" s="31">
        <f t="shared" si="48"/>
        <v>0</v>
      </c>
      <c r="AF64" s="31">
        <f t="shared" si="49"/>
        <v>0</v>
      </c>
      <c r="AG64" s="31">
        <f t="shared" si="67"/>
        <v>0</v>
      </c>
      <c r="AH64" s="31">
        <f t="shared" si="67"/>
        <v>0</v>
      </c>
      <c r="AI64" s="31">
        <f t="shared" si="67"/>
        <v>0</v>
      </c>
      <c r="AJ64" s="31">
        <f t="shared" si="67"/>
        <v>0</v>
      </c>
      <c r="AK64" s="31">
        <f t="shared" si="67"/>
        <v>0</v>
      </c>
      <c r="AL64" s="31">
        <f t="shared" si="67"/>
        <v>0</v>
      </c>
      <c r="AM64" s="31">
        <f t="shared" si="67"/>
        <v>0</v>
      </c>
      <c r="AN64" s="31">
        <f t="shared" si="67"/>
        <v>0</v>
      </c>
      <c r="AO64" s="31">
        <f t="shared" si="67"/>
        <v>0</v>
      </c>
      <c r="AP64" s="31">
        <f t="shared" si="67"/>
        <v>0</v>
      </c>
      <c r="AQ64" s="31">
        <f t="shared" si="67"/>
        <v>0</v>
      </c>
      <c r="AR64" s="31">
        <f t="shared" si="67"/>
        <v>0</v>
      </c>
      <c r="AS64" s="31">
        <f t="shared" si="67"/>
        <v>0</v>
      </c>
      <c r="AT64" s="31">
        <f t="shared" si="67"/>
        <v>0</v>
      </c>
      <c r="AU64" s="31">
        <f t="shared" si="67"/>
        <v>0</v>
      </c>
      <c r="AW64" s="22">
        <f t="shared" si="50"/>
        <v>0</v>
      </c>
      <c r="AX64" s="22">
        <f t="shared" si="51"/>
        <v>0</v>
      </c>
      <c r="AY64" s="22">
        <f t="shared" si="52"/>
        <v>0</v>
      </c>
      <c r="AZ64" s="22">
        <f t="shared" si="53"/>
        <v>0</v>
      </c>
      <c r="BA64" s="22">
        <f t="shared" si="54"/>
        <v>0</v>
      </c>
      <c r="BB64" s="22">
        <f t="shared" si="55"/>
        <v>0</v>
      </c>
      <c r="BC64" s="22">
        <f t="shared" si="56"/>
        <v>0</v>
      </c>
      <c r="BD64" s="22">
        <f t="shared" si="57"/>
        <v>0</v>
      </c>
      <c r="BE64" s="22">
        <f t="shared" si="58"/>
        <v>0</v>
      </c>
      <c r="BF64" s="22">
        <f t="shared" si="59"/>
        <v>0</v>
      </c>
      <c r="BG64" s="22">
        <f t="shared" si="60"/>
        <v>0</v>
      </c>
      <c r="BH64" s="22">
        <f t="shared" si="61"/>
        <v>0</v>
      </c>
      <c r="BI64" s="22">
        <f t="shared" si="62"/>
        <v>0</v>
      </c>
      <c r="BJ64" s="22">
        <f t="shared" si="63"/>
        <v>0</v>
      </c>
      <c r="BK64" s="22">
        <f t="shared" si="64"/>
        <v>0</v>
      </c>
      <c r="BL64" s="22">
        <f t="shared" si="65"/>
        <v>0</v>
      </c>
      <c r="BM64" s="22" t="str">
        <f t="shared" si="66"/>
        <v>OK</v>
      </c>
    </row>
    <row r="65" spans="1:65">
      <c r="A65" s="29">
        <f>A64</f>
        <v>41098</v>
      </c>
      <c r="B65">
        <f>B64</f>
        <v>0</v>
      </c>
      <c r="C65" t="b">
        <f>VLOOKUP($B65,勤務形態オプション!$A$3:$D$10,C$6,FALSE)</f>
        <v>1</v>
      </c>
      <c r="D65" t="b">
        <f>VLOOKUP($B65,勤務形態オプション!$A$3:$D$10,D$6,FALSE)</f>
        <v>0</v>
      </c>
      <c r="E65" t="b">
        <f>VLOOKUP($B65,勤務形態オプション!$A$3:$D$10,E$6,FALSE)</f>
        <v>0</v>
      </c>
      <c r="F65" s="50">
        <f>F63</f>
        <v>0</v>
      </c>
      <c r="G65" s="50">
        <f>G63</f>
        <v>0</v>
      </c>
      <c r="H65" s="50">
        <f>H63</f>
        <v>0</v>
      </c>
      <c r="I65" s="50">
        <f>I63</f>
        <v>0</v>
      </c>
      <c r="J65" s="58">
        <v>3</v>
      </c>
      <c r="K65" s="50">
        <f>IF(命令簿!D66&lt;&gt;"",命令簿!D66,0)</f>
        <v>0</v>
      </c>
      <c r="L65" s="50">
        <f>IF(命令簿!G66&lt;&gt;"",命令簿!G66,IF(命令簿!F66&lt;&gt;"",命令簿!F66,0))</f>
        <v>0</v>
      </c>
      <c r="M65" s="50">
        <f>IF(命令簿!I66&lt;&gt;"",命令簿!I66,$L65)</f>
        <v>0</v>
      </c>
      <c r="N65" s="50">
        <f>IF(命令簿!I66&lt;&gt;"",命令簿!F66,L65)</f>
        <v>0</v>
      </c>
      <c r="O65" s="50">
        <f t="shared" si="10"/>
        <v>0</v>
      </c>
      <c r="P65" s="355"/>
      <c r="R65" s="31">
        <f t="shared" si="38"/>
        <v>0</v>
      </c>
      <c r="S65" s="31">
        <f t="shared" si="39"/>
        <v>0</v>
      </c>
      <c r="T65" s="31">
        <f t="shared" si="40"/>
        <v>0</v>
      </c>
      <c r="U65" s="31">
        <f t="shared" si="41"/>
        <v>0</v>
      </c>
      <c r="V65" s="31">
        <f t="shared" si="42"/>
        <v>0</v>
      </c>
      <c r="W65" s="31">
        <f t="shared" si="31"/>
        <v>0</v>
      </c>
      <c r="X65" s="31">
        <f t="shared" si="47"/>
        <v>0</v>
      </c>
      <c r="Y65" s="31">
        <f t="shared" si="44"/>
        <v>0</v>
      </c>
      <c r="Z65" s="31">
        <f t="shared" si="44"/>
        <v>0</v>
      </c>
      <c r="AA65" s="31">
        <f t="shared" si="44"/>
        <v>0</v>
      </c>
      <c r="AB65" s="31">
        <f t="shared" si="44"/>
        <v>0</v>
      </c>
      <c r="AC65" s="31">
        <f t="shared" si="46"/>
        <v>0</v>
      </c>
      <c r="AD65" s="31">
        <f t="shared" si="43"/>
        <v>0</v>
      </c>
      <c r="AE65" s="31">
        <f t="shared" si="48"/>
        <v>0</v>
      </c>
      <c r="AF65" s="31">
        <f t="shared" si="49"/>
        <v>0</v>
      </c>
      <c r="AG65" s="31">
        <f t="shared" si="67"/>
        <v>0</v>
      </c>
      <c r="AH65" s="31">
        <f t="shared" si="67"/>
        <v>0</v>
      </c>
      <c r="AI65" s="31">
        <f t="shared" si="67"/>
        <v>0</v>
      </c>
      <c r="AJ65" s="31">
        <f t="shared" si="67"/>
        <v>0</v>
      </c>
      <c r="AK65" s="31">
        <f t="shared" si="67"/>
        <v>0</v>
      </c>
      <c r="AL65" s="31">
        <f t="shared" si="67"/>
        <v>0</v>
      </c>
      <c r="AM65" s="31">
        <f t="shared" si="67"/>
        <v>0</v>
      </c>
      <c r="AN65" s="31">
        <f t="shared" si="67"/>
        <v>0</v>
      </c>
      <c r="AO65" s="31">
        <f t="shared" si="67"/>
        <v>0</v>
      </c>
      <c r="AP65" s="31">
        <f t="shared" si="67"/>
        <v>0</v>
      </c>
      <c r="AQ65" s="31">
        <f t="shared" si="67"/>
        <v>0</v>
      </c>
      <c r="AR65" s="31">
        <f t="shared" si="67"/>
        <v>0</v>
      </c>
      <c r="AS65" s="31">
        <f t="shared" si="67"/>
        <v>0</v>
      </c>
      <c r="AT65" s="31">
        <f t="shared" si="67"/>
        <v>0</v>
      </c>
      <c r="AU65" s="31">
        <f t="shared" si="67"/>
        <v>0</v>
      </c>
      <c r="AW65" s="22">
        <f t="shared" si="50"/>
        <v>0</v>
      </c>
      <c r="AX65" s="22">
        <f t="shared" si="51"/>
        <v>0</v>
      </c>
      <c r="AY65" s="22">
        <f t="shared" si="52"/>
        <v>0</v>
      </c>
      <c r="AZ65" s="22">
        <f t="shared" si="53"/>
        <v>0</v>
      </c>
      <c r="BA65" s="22">
        <f t="shared" si="54"/>
        <v>0</v>
      </c>
      <c r="BB65" s="22">
        <f t="shared" si="55"/>
        <v>0</v>
      </c>
      <c r="BC65" s="22">
        <f t="shared" si="56"/>
        <v>0</v>
      </c>
      <c r="BD65" s="22">
        <f t="shared" si="57"/>
        <v>0</v>
      </c>
      <c r="BE65" s="22">
        <f t="shared" si="58"/>
        <v>0</v>
      </c>
      <c r="BF65" s="22">
        <f t="shared" si="59"/>
        <v>0</v>
      </c>
      <c r="BG65" s="22">
        <f t="shared" si="60"/>
        <v>0</v>
      </c>
      <c r="BH65" s="22">
        <f t="shared" si="61"/>
        <v>0</v>
      </c>
      <c r="BI65" s="22">
        <f t="shared" si="62"/>
        <v>0</v>
      </c>
      <c r="BJ65" s="22">
        <f t="shared" si="63"/>
        <v>0</v>
      </c>
      <c r="BK65" s="22">
        <f t="shared" si="64"/>
        <v>0</v>
      </c>
      <c r="BL65" s="22">
        <f t="shared" si="65"/>
        <v>0</v>
      </c>
      <c r="BM65" s="22" t="str">
        <f t="shared" si="66"/>
        <v>OK</v>
      </c>
    </row>
    <row r="66" spans="1:65">
      <c r="A66" s="29">
        <f>補助簿!B66</f>
        <v>41099</v>
      </c>
      <c r="B66" s="150">
        <f>命令簿!C69</f>
        <v>0</v>
      </c>
      <c r="C66" t="b">
        <f>VLOOKUP($B66,勤務形態オプション!$A$3:$D$10,C$6,FALSE)</f>
        <v>1</v>
      </c>
      <c r="D66" t="b">
        <f>VLOOKUP($B66,勤務形態オプション!$A$3:$D$10,D$6,FALSE)</f>
        <v>0</v>
      </c>
      <c r="E66" t="b">
        <f>VLOOKUP($B66,勤務形態オプション!$A$3:$D$10,E$6,FALSE)</f>
        <v>0</v>
      </c>
      <c r="F66" s="50">
        <f>補助簿!$E66</f>
        <v>0</v>
      </c>
      <c r="G66" s="50">
        <f>補助簿!$F66</f>
        <v>0</v>
      </c>
      <c r="H66" s="50">
        <f>補助簿!$C66</f>
        <v>0</v>
      </c>
      <c r="I66" s="50">
        <f>補助簿!$D66</f>
        <v>0</v>
      </c>
      <c r="J66" s="58">
        <v>1</v>
      </c>
      <c r="K66" s="50">
        <f>IF(命令簿!D67&lt;&gt;"",命令簿!D67,0)</f>
        <v>0</v>
      </c>
      <c r="L66" s="50">
        <f>IF(命令簿!G67&lt;&gt;"",命令簿!G67,IF(命令簿!F67&lt;&gt;"",命令簿!F67,0))</f>
        <v>0</v>
      </c>
      <c r="M66" s="50">
        <f>IF(命令簿!I67&lt;&gt;"",命令簿!I67,$L66)</f>
        <v>0</v>
      </c>
      <c r="N66" s="50">
        <f>IF(命令簿!I67&lt;&gt;"",命令簿!F67,L66)</f>
        <v>0</v>
      </c>
      <c r="O66" s="50">
        <f t="shared" si="10"/>
        <v>0</v>
      </c>
      <c r="P66" s="355">
        <f>SUM(O66:O68)</f>
        <v>0</v>
      </c>
      <c r="R66" s="31">
        <f t="shared" si="38"/>
        <v>0</v>
      </c>
      <c r="S66" s="31">
        <f t="shared" si="39"/>
        <v>0</v>
      </c>
      <c r="T66" s="31">
        <f t="shared" si="40"/>
        <v>0</v>
      </c>
      <c r="U66" s="31">
        <f t="shared" si="41"/>
        <v>0</v>
      </c>
      <c r="V66" s="31">
        <f t="shared" si="42"/>
        <v>0</v>
      </c>
      <c r="W66" s="31">
        <f t="shared" si="31"/>
        <v>0</v>
      </c>
      <c r="X66" s="31">
        <f t="shared" si="47"/>
        <v>0</v>
      </c>
      <c r="Y66" s="31">
        <f t="shared" si="44"/>
        <v>0</v>
      </c>
      <c r="Z66" s="31">
        <f t="shared" si="44"/>
        <v>0</v>
      </c>
      <c r="AA66" s="31">
        <f t="shared" si="44"/>
        <v>0</v>
      </c>
      <c r="AB66" s="31">
        <f t="shared" si="44"/>
        <v>0</v>
      </c>
      <c r="AC66" s="31">
        <f t="shared" si="46"/>
        <v>0</v>
      </c>
      <c r="AD66" s="31">
        <f t="shared" si="43"/>
        <v>0</v>
      </c>
      <c r="AE66" s="31">
        <f t="shared" si="48"/>
        <v>0</v>
      </c>
      <c r="AF66" s="31">
        <f t="shared" si="49"/>
        <v>0</v>
      </c>
      <c r="AG66" s="31">
        <f t="shared" si="67"/>
        <v>0</v>
      </c>
      <c r="AH66" s="31">
        <f t="shared" si="67"/>
        <v>0</v>
      </c>
      <c r="AI66" s="31">
        <f t="shared" si="67"/>
        <v>0</v>
      </c>
      <c r="AJ66" s="31">
        <f t="shared" si="67"/>
        <v>0</v>
      </c>
      <c r="AK66" s="31">
        <f t="shared" si="67"/>
        <v>0</v>
      </c>
      <c r="AL66" s="31">
        <f t="shared" si="67"/>
        <v>0</v>
      </c>
      <c r="AM66" s="31">
        <f t="shared" si="67"/>
        <v>0</v>
      </c>
      <c r="AN66" s="31">
        <f t="shared" si="67"/>
        <v>0</v>
      </c>
      <c r="AO66" s="31">
        <f t="shared" si="67"/>
        <v>0</v>
      </c>
      <c r="AP66" s="31">
        <f t="shared" si="67"/>
        <v>0</v>
      </c>
      <c r="AQ66" s="31">
        <f t="shared" si="67"/>
        <v>0</v>
      </c>
      <c r="AR66" s="31">
        <f t="shared" si="67"/>
        <v>0</v>
      </c>
      <c r="AS66" s="31">
        <f t="shared" si="67"/>
        <v>0</v>
      </c>
      <c r="AT66" s="31">
        <f t="shared" si="67"/>
        <v>0</v>
      </c>
      <c r="AU66" s="31">
        <f t="shared" si="67"/>
        <v>0</v>
      </c>
      <c r="AW66" s="22">
        <f t="shared" si="50"/>
        <v>0</v>
      </c>
      <c r="AX66" s="22">
        <f t="shared" si="51"/>
        <v>0</v>
      </c>
      <c r="AY66" s="22">
        <f t="shared" si="52"/>
        <v>0</v>
      </c>
      <c r="AZ66" s="22">
        <f t="shared" si="53"/>
        <v>0</v>
      </c>
      <c r="BA66" s="22">
        <f t="shared" si="54"/>
        <v>0</v>
      </c>
      <c r="BB66" s="22">
        <f t="shared" si="55"/>
        <v>0</v>
      </c>
      <c r="BC66" s="22">
        <f t="shared" si="56"/>
        <v>0</v>
      </c>
      <c r="BD66" s="22">
        <f t="shared" si="57"/>
        <v>0</v>
      </c>
      <c r="BE66" s="22">
        <f t="shared" si="58"/>
        <v>0</v>
      </c>
      <c r="BF66" s="22">
        <f t="shared" si="59"/>
        <v>0</v>
      </c>
      <c r="BG66" s="22">
        <f t="shared" si="60"/>
        <v>0</v>
      </c>
      <c r="BH66" s="22">
        <f t="shared" si="61"/>
        <v>0</v>
      </c>
      <c r="BI66" s="22">
        <f t="shared" si="62"/>
        <v>0</v>
      </c>
      <c r="BJ66" s="22">
        <f t="shared" si="63"/>
        <v>0</v>
      </c>
      <c r="BK66" s="22">
        <f t="shared" si="64"/>
        <v>0</v>
      </c>
      <c r="BL66" s="22">
        <f t="shared" si="65"/>
        <v>0</v>
      </c>
      <c r="BM66" s="22" t="str">
        <f t="shared" si="66"/>
        <v>OK</v>
      </c>
    </row>
    <row r="67" spans="1:65">
      <c r="A67" s="29">
        <f>A66</f>
        <v>41099</v>
      </c>
      <c r="B67">
        <f>B66</f>
        <v>0</v>
      </c>
      <c r="C67" t="b">
        <f>VLOOKUP($B67,勤務形態オプション!$A$3:$D$10,C$6,FALSE)</f>
        <v>1</v>
      </c>
      <c r="D67" t="b">
        <f>VLOOKUP($B67,勤務形態オプション!$A$3:$D$10,D$6,FALSE)</f>
        <v>0</v>
      </c>
      <c r="E67" t="b">
        <f>VLOOKUP($B67,勤務形態オプション!$A$3:$D$10,E$6,FALSE)</f>
        <v>0</v>
      </c>
      <c r="F67" s="50">
        <f>F66</f>
        <v>0</v>
      </c>
      <c r="G67" s="50">
        <f>G66</f>
        <v>0</v>
      </c>
      <c r="H67" s="50">
        <f>H66</f>
        <v>0</v>
      </c>
      <c r="I67" s="50">
        <f>I66</f>
        <v>0</v>
      </c>
      <c r="J67" s="58">
        <v>2</v>
      </c>
      <c r="K67" s="50">
        <f>IF(命令簿!D68&lt;&gt;"",命令簿!D68,0)</f>
        <v>0</v>
      </c>
      <c r="L67" s="50">
        <f>IF(命令簿!G68&lt;&gt;"",命令簿!G68,IF(命令簿!F68&lt;&gt;"",命令簿!F68,0))</f>
        <v>0</v>
      </c>
      <c r="M67" s="50">
        <f>IF(命令簿!I68&lt;&gt;"",命令簿!I68,$L67)</f>
        <v>0</v>
      </c>
      <c r="N67" s="50">
        <f>IF(命令簿!I68&lt;&gt;"",命令簿!F68,L67)</f>
        <v>0</v>
      </c>
      <c r="O67" s="50">
        <f t="shared" si="10"/>
        <v>0</v>
      </c>
      <c r="P67" s="355"/>
      <c r="R67" s="31">
        <f t="shared" si="38"/>
        <v>0</v>
      </c>
      <c r="S67" s="31">
        <f t="shared" si="39"/>
        <v>0</v>
      </c>
      <c r="T67" s="31">
        <f t="shared" si="40"/>
        <v>0</v>
      </c>
      <c r="U67" s="31">
        <f t="shared" si="41"/>
        <v>0</v>
      </c>
      <c r="V67" s="31">
        <f t="shared" si="42"/>
        <v>0</v>
      </c>
      <c r="W67" s="31">
        <f t="shared" si="31"/>
        <v>0</v>
      </c>
      <c r="X67" s="31">
        <f t="shared" si="47"/>
        <v>0</v>
      </c>
      <c r="Y67" s="31">
        <f t="shared" si="44"/>
        <v>0</v>
      </c>
      <c r="Z67" s="31">
        <f t="shared" si="44"/>
        <v>0</v>
      </c>
      <c r="AA67" s="31">
        <f t="shared" si="44"/>
        <v>0</v>
      </c>
      <c r="AB67" s="31">
        <f t="shared" si="44"/>
        <v>0</v>
      </c>
      <c r="AC67" s="31">
        <f t="shared" si="46"/>
        <v>0</v>
      </c>
      <c r="AD67" s="31">
        <f t="shared" si="43"/>
        <v>0</v>
      </c>
      <c r="AE67" s="31">
        <f t="shared" si="48"/>
        <v>0</v>
      </c>
      <c r="AF67" s="31">
        <f t="shared" si="49"/>
        <v>0</v>
      </c>
      <c r="AG67" s="31">
        <f t="shared" si="67"/>
        <v>0</v>
      </c>
      <c r="AH67" s="31">
        <f t="shared" si="67"/>
        <v>0</v>
      </c>
      <c r="AI67" s="31">
        <f t="shared" si="67"/>
        <v>0</v>
      </c>
      <c r="AJ67" s="31">
        <f t="shared" si="67"/>
        <v>0</v>
      </c>
      <c r="AK67" s="31">
        <f t="shared" si="67"/>
        <v>0</v>
      </c>
      <c r="AL67" s="31">
        <f t="shared" si="67"/>
        <v>0</v>
      </c>
      <c r="AM67" s="31">
        <f t="shared" si="67"/>
        <v>0</v>
      </c>
      <c r="AN67" s="31">
        <f t="shared" si="67"/>
        <v>0</v>
      </c>
      <c r="AO67" s="31">
        <f t="shared" si="67"/>
        <v>0</v>
      </c>
      <c r="AP67" s="31">
        <f t="shared" si="67"/>
        <v>0</v>
      </c>
      <c r="AQ67" s="31">
        <f t="shared" si="67"/>
        <v>0</v>
      </c>
      <c r="AR67" s="31">
        <f t="shared" si="67"/>
        <v>0</v>
      </c>
      <c r="AS67" s="31">
        <f t="shared" si="67"/>
        <v>0</v>
      </c>
      <c r="AT67" s="31">
        <f t="shared" si="67"/>
        <v>0</v>
      </c>
      <c r="AU67" s="31">
        <f t="shared" si="67"/>
        <v>0</v>
      </c>
      <c r="AW67" s="22">
        <f t="shared" si="50"/>
        <v>0</v>
      </c>
      <c r="AX67" s="22">
        <f t="shared" si="51"/>
        <v>0</v>
      </c>
      <c r="AY67" s="22">
        <f t="shared" si="52"/>
        <v>0</v>
      </c>
      <c r="AZ67" s="22">
        <f t="shared" si="53"/>
        <v>0</v>
      </c>
      <c r="BA67" s="22">
        <f t="shared" si="54"/>
        <v>0</v>
      </c>
      <c r="BB67" s="22">
        <f t="shared" si="55"/>
        <v>0</v>
      </c>
      <c r="BC67" s="22">
        <f t="shared" si="56"/>
        <v>0</v>
      </c>
      <c r="BD67" s="22">
        <f t="shared" si="57"/>
        <v>0</v>
      </c>
      <c r="BE67" s="22">
        <f t="shared" si="58"/>
        <v>0</v>
      </c>
      <c r="BF67" s="22">
        <f t="shared" si="59"/>
        <v>0</v>
      </c>
      <c r="BG67" s="22">
        <f t="shared" si="60"/>
        <v>0</v>
      </c>
      <c r="BH67" s="22">
        <f t="shared" si="61"/>
        <v>0</v>
      </c>
      <c r="BI67" s="22">
        <f t="shared" si="62"/>
        <v>0</v>
      </c>
      <c r="BJ67" s="22">
        <f t="shared" si="63"/>
        <v>0</v>
      </c>
      <c r="BK67" s="22">
        <f t="shared" si="64"/>
        <v>0</v>
      </c>
      <c r="BL67" s="22">
        <f t="shared" si="65"/>
        <v>0</v>
      </c>
      <c r="BM67" s="22" t="str">
        <f t="shared" si="66"/>
        <v>OK</v>
      </c>
    </row>
    <row r="68" spans="1:65">
      <c r="A68" s="29">
        <f>A67</f>
        <v>41099</v>
      </c>
      <c r="B68">
        <f>B67</f>
        <v>0</v>
      </c>
      <c r="C68" t="b">
        <f>VLOOKUP($B68,勤務形態オプション!$A$3:$D$10,C$6,FALSE)</f>
        <v>1</v>
      </c>
      <c r="D68" t="b">
        <f>VLOOKUP($B68,勤務形態オプション!$A$3:$D$10,D$6,FALSE)</f>
        <v>0</v>
      </c>
      <c r="E68" t="b">
        <f>VLOOKUP($B68,勤務形態オプション!$A$3:$D$10,E$6,FALSE)</f>
        <v>0</v>
      </c>
      <c r="F68" s="50">
        <f>F66</f>
        <v>0</v>
      </c>
      <c r="G68" s="50">
        <f>G66</f>
        <v>0</v>
      </c>
      <c r="H68" s="50">
        <f>H66</f>
        <v>0</v>
      </c>
      <c r="I68" s="50">
        <f>I66</f>
        <v>0</v>
      </c>
      <c r="J68" s="58">
        <v>3</v>
      </c>
      <c r="K68" s="50">
        <f>IF(命令簿!D69&lt;&gt;"",命令簿!D69,0)</f>
        <v>0</v>
      </c>
      <c r="L68" s="50">
        <f>IF(命令簿!G69&lt;&gt;"",命令簿!G69,IF(命令簿!F69&lt;&gt;"",命令簿!F69,0))</f>
        <v>0</v>
      </c>
      <c r="M68" s="50">
        <f>IF(命令簿!I69&lt;&gt;"",命令簿!I69,$L68)</f>
        <v>0</v>
      </c>
      <c r="N68" s="50">
        <f>IF(命令簿!I69&lt;&gt;"",命令簿!F69,L68)</f>
        <v>0</v>
      </c>
      <c r="O68" s="50">
        <f t="shared" si="10"/>
        <v>0</v>
      </c>
      <c r="P68" s="355"/>
      <c r="R68" s="31">
        <f t="shared" si="38"/>
        <v>0</v>
      </c>
      <c r="S68" s="31">
        <f t="shared" si="39"/>
        <v>0</v>
      </c>
      <c r="T68" s="31">
        <f t="shared" si="40"/>
        <v>0</v>
      </c>
      <c r="U68" s="31">
        <f t="shared" si="41"/>
        <v>0</v>
      </c>
      <c r="V68" s="31">
        <f t="shared" si="42"/>
        <v>0</v>
      </c>
      <c r="W68" s="31">
        <f t="shared" si="31"/>
        <v>0</v>
      </c>
      <c r="X68" s="31">
        <f t="shared" si="47"/>
        <v>0</v>
      </c>
      <c r="Y68" s="31">
        <f t="shared" si="44"/>
        <v>0</v>
      </c>
      <c r="Z68" s="31">
        <f t="shared" si="44"/>
        <v>0</v>
      </c>
      <c r="AA68" s="31">
        <f t="shared" si="44"/>
        <v>0</v>
      </c>
      <c r="AB68" s="31">
        <f t="shared" si="44"/>
        <v>0</v>
      </c>
      <c r="AC68" s="31">
        <f t="shared" si="46"/>
        <v>0</v>
      </c>
      <c r="AD68" s="31">
        <f t="shared" si="43"/>
        <v>0</v>
      </c>
      <c r="AE68" s="31">
        <f t="shared" si="48"/>
        <v>0</v>
      </c>
      <c r="AF68" s="31">
        <f t="shared" si="49"/>
        <v>0</v>
      </c>
      <c r="AG68" s="31">
        <f t="shared" si="67"/>
        <v>0</v>
      </c>
      <c r="AH68" s="31">
        <f t="shared" si="67"/>
        <v>0</v>
      </c>
      <c r="AI68" s="31">
        <f t="shared" si="67"/>
        <v>0</v>
      </c>
      <c r="AJ68" s="31">
        <f t="shared" si="67"/>
        <v>0</v>
      </c>
      <c r="AK68" s="31">
        <f t="shared" si="67"/>
        <v>0</v>
      </c>
      <c r="AL68" s="31">
        <f t="shared" si="67"/>
        <v>0</v>
      </c>
      <c r="AM68" s="31">
        <f t="shared" si="67"/>
        <v>0</v>
      </c>
      <c r="AN68" s="31">
        <f t="shared" si="67"/>
        <v>0</v>
      </c>
      <c r="AO68" s="31">
        <f t="shared" si="67"/>
        <v>0</v>
      </c>
      <c r="AP68" s="31">
        <f t="shared" si="67"/>
        <v>0</v>
      </c>
      <c r="AQ68" s="31">
        <f t="shared" si="67"/>
        <v>0</v>
      </c>
      <c r="AR68" s="31">
        <f t="shared" si="67"/>
        <v>0</v>
      </c>
      <c r="AS68" s="31">
        <f t="shared" si="67"/>
        <v>0</v>
      </c>
      <c r="AT68" s="31">
        <f t="shared" si="67"/>
        <v>0</v>
      </c>
      <c r="AU68" s="31">
        <f t="shared" si="67"/>
        <v>0</v>
      </c>
      <c r="AW68" s="22">
        <f t="shared" si="50"/>
        <v>0</v>
      </c>
      <c r="AX68" s="22">
        <f t="shared" si="51"/>
        <v>0</v>
      </c>
      <c r="AY68" s="22">
        <f t="shared" si="52"/>
        <v>0</v>
      </c>
      <c r="AZ68" s="22">
        <f t="shared" si="53"/>
        <v>0</v>
      </c>
      <c r="BA68" s="22">
        <f t="shared" si="54"/>
        <v>0</v>
      </c>
      <c r="BB68" s="22">
        <f t="shared" si="55"/>
        <v>0</v>
      </c>
      <c r="BC68" s="22">
        <f t="shared" si="56"/>
        <v>0</v>
      </c>
      <c r="BD68" s="22">
        <f t="shared" si="57"/>
        <v>0</v>
      </c>
      <c r="BE68" s="22">
        <f t="shared" si="58"/>
        <v>0</v>
      </c>
      <c r="BF68" s="22">
        <f t="shared" si="59"/>
        <v>0</v>
      </c>
      <c r="BG68" s="22">
        <f t="shared" si="60"/>
        <v>0</v>
      </c>
      <c r="BH68" s="22">
        <f t="shared" si="61"/>
        <v>0</v>
      </c>
      <c r="BI68" s="22">
        <f t="shared" si="62"/>
        <v>0</v>
      </c>
      <c r="BJ68" s="22">
        <f t="shared" si="63"/>
        <v>0</v>
      </c>
      <c r="BK68" s="22">
        <f t="shared" si="64"/>
        <v>0</v>
      </c>
      <c r="BL68" s="22">
        <f t="shared" si="65"/>
        <v>0</v>
      </c>
      <c r="BM68" s="22" t="str">
        <f t="shared" si="66"/>
        <v>OK</v>
      </c>
    </row>
    <row r="69" spans="1:65">
      <c r="A69" s="29">
        <f>補助簿!B69</f>
        <v>41100</v>
      </c>
      <c r="B69" s="151">
        <f>命令簿!C72</f>
        <v>0</v>
      </c>
      <c r="C69" t="b">
        <f>VLOOKUP($B69,勤務形態オプション!$A$3:$D$10,C$6,FALSE)</f>
        <v>1</v>
      </c>
      <c r="D69" t="b">
        <f>VLOOKUP($B69,勤務形態オプション!$A$3:$D$10,D$6,FALSE)</f>
        <v>0</v>
      </c>
      <c r="E69" t="b">
        <f>VLOOKUP($B69,勤務形態オプション!$A$3:$D$10,E$6,FALSE)</f>
        <v>0</v>
      </c>
      <c r="F69" s="50">
        <f>補助簿!$E69</f>
        <v>0</v>
      </c>
      <c r="G69" s="50">
        <f>補助簿!$F69</f>
        <v>0</v>
      </c>
      <c r="H69" s="50">
        <f>補助簿!$C69</f>
        <v>0</v>
      </c>
      <c r="I69" s="50">
        <f>補助簿!$D69</f>
        <v>0</v>
      </c>
      <c r="J69" s="58">
        <v>1</v>
      </c>
      <c r="K69" s="50">
        <f>IF(命令簿!D70&lt;&gt;"",命令簿!D70,0)</f>
        <v>0</v>
      </c>
      <c r="L69" s="50">
        <f>IF(命令簿!G70&lt;&gt;"",命令簿!G70,IF(命令簿!F70&lt;&gt;"",命令簿!F70,0))</f>
        <v>0</v>
      </c>
      <c r="M69" s="50">
        <f>IF(命令簿!I70&lt;&gt;"",命令簿!I70,$L69)</f>
        <v>0</v>
      </c>
      <c r="N69" s="50">
        <f>IF(命令簿!I70&lt;&gt;"",命令簿!F70,L69)</f>
        <v>0</v>
      </c>
      <c r="O69" s="50">
        <f t="shared" si="10"/>
        <v>0</v>
      </c>
      <c r="P69" s="355">
        <f>SUM(O69:O71)</f>
        <v>0</v>
      </c>
      <c r="R69" s="31">
        <f t="shared" si="38"/>
        <v>0</v>
      </c>
      <c r="S69" s="31">
        <f t="shared" si="39"/>
        <v>0</v>
      </c>
      <c r="T69" s="31">
        <f t="shared" si="40"/>
        <v>0</v>
      </c>
      <c r="U69" s="31">
        <f t="shared" si="41"/>
        <v>0</v>
      </c>
      <c r="V69" s="31">
        <f t="shared" si="42"/>
        <v>0</v>
      </c>
      <c r="W69" s="31">
        <f t="shared" si="31"/>
        <v>0</v>
      </c>
      <c r="X69" s="31">
        <f t="shared" si="47"/>
        <v>0</v>
      </c>
      <c r="Y69" s="31">
        <f t="shared" ref="Y69:AB88" si="68">CalcOverTime($E69,$X69,$U69,$T69,$S69,$R69,Y$7)</f>
        <v>0</v>
      </c>
      <c r="Z69" s="31">
        <f t="shared" si="68"/>
        <v>0</v>
      </c>
      <c r="AA69" s="31">
        <f t="shared" si="68"/>
        <v>0</v>
      </c>
      <c r="AB69" s="31">
        <f t="shared" si="68"/>
        <v>0</v>
      </c>
      <c r="AC69" s="31">
        <f t="shared" si="46"/>
        <v>0</v>
      </c>
      <c r="AD69" s="31">
        <f t="shared" si="43"/>
        <v>0</v>
      </c>
      <c r="AE69" s="31">
        <f t="shared" si="48"/>
        <v>0</v>
      </c>
      <c r="AF69" s="31">
        <f t="shared" si="49"/>
        <v>0</v>
      </c>
      <c r="AG69" s="31">
        <f t="shared" ref="AG69:AU78" si="69">AllocateWorkTime($C69:$I69,$Y69:$AF69,AG$6)</f>
        <v>0</v>
      </c>
      <c r="AH69" s="31">
        <f t="shared" si="69"/>
        <v>0</v>
      </c>
      <c r="AI69" s="31">
        <f t="shared" si="69"/>
        <v>0</v>
      </c>
      <c r="AJ69" s="31">
        <f t="shared" si="69"/>
        <v>0</v>
      </c>
      <c r="AK69" s="31">
        <f t="shared" si="69"/>
        <v>0</v>
      </c>
      <c r="AL69" s="31">
        <f t="shared" si="69"/>
        <v>0</v>
      </c>
      <c r="AM69" s="31">
        <f t="shared" si="69"/>
        <v>0</v>
      </c>
      <c r="AN69" s="31">
        <f t="shared" si="69"/>
        <v>0</v>
      </c>
      <c r="AO69" s="31">
        <f t="shared" si="69"/>
        <v>0</v>
      </c>
      <c r="AP69" s="31">
        <f t="shared" si="69"/>
        <v>0</v>
      </c>
      <c r="AQ69" s="31">
        <f t="shared" si="69"/>
        <v>0</v>
      </c>
      <c r="AR69" s="31">
        <f t="shared" si="69"/>
        <v>0</v>
      </c>
      <c r="AS69" s="31">
        <f t="shared" si="69"/>
        <v>0</v>
      </c>
      <c r="AT69" s="31">
        <f t="shared" si="69"/>
        <v>0</v>
      </c>
      <c r="AU69" s="31">
        <f t="shared" si="69"/>
        <v>0</v>
      </c>
      <c r="AW69" s="22">
        <f t="shared" si="50"/>
        <v>0</v>
      </c>
      <c r="AX69" s="22">
        <f t="shared" si="51"/>
        <v>0</v>
      </c>
      <c r="AY69" s="22">
        <f t="shared" si="52"/>
        <v>0</v>
      </c>
      <c r="AZ69" s="22">
        <f t="shared" si="53"/>
        <v>0</v>
      </c>
      <c r="BA69" s="22">
        <f t="shared" si="54"/>
        <v>0</v>
      </c>
      <c r="BB69" s="22">
        <f t="shared" si="55"/>
        <v>0</v>
      </c>
      <c r="BC69" s="22">
        <f t="shared" si="56"/>
        <v>0</v>
      </c>
      <c r="BD69" s="22">
        <f t="shared" si="57"/>
        <v>0</v>
      </c>
      <c r="BE69" s="22">
        <f t="shared" si="58"/>
        <v>0</v>
      </c>
      <c r="BF69" s="22">
        <f t="shared" si="59"/>
        <v>0</v>
      </c>
      <c r="BG69" s="22">
        <f t="shared" si="60"/>
        <v>0</v>
      </c>
      <c r="BH69" s="22">
        <f t="shared" si="61"/>
        <v>0</v>
      </c>
      <c r="BI69" s="22">
        <f t="shared" si="62"/>
        <v>0</v>
      </c>
      <c r="BJ69" s="22">
        <f t="shared" si="63"/>
        <v>0</v>
      </c>
      <c r="BK69" s="22">
        <f t="shared" si="64"/>
        <v>0</v>
      </c>
      <c r="BL69" s="22">
        <f t="shared" si="65"/>
        <v>0</v>
      </c>
      <c r="BM69" s="22" t="str">
        <f t="shared" si="66"/>
        <v>OK</v>
      </c>
    </row>
    <row r="70" spans="1:65">
      <c r="A70" s="29">
        <f>A69</f>
        <v>41100</v>
      </c>
      <c r="B70">
        <f>B69</f>
        <v>0</v>
      </c>
      <c r="C70" t="b">
        <f>VLOOKUP($B70,勤務形態オプション!$A$3:$D$10,C$6,FALSE)</f>
        <v>1</v>
      </c>
      <c r="D70" t="b">
        <f>VLOOKUP($B70,勤務形態オプション!$A$3:$D$10,D$6,FALSE)</f>
        <v>0</v>
      </c>
      <c r="E70" t="b">
        <f>VLOOKUP($B70,勤務形態オプション!$A$3:$D$10,E$6,FALSE)</f>
        <v>0</v>
      </c>
      <c r="F70" s="50">
        <f>F69</f>
        <v>0</v>
      </c>
      <c r="G70" s="50">
        <f>G69</f>
        <v>0</v>
      </c>
      <c r="H70" s="50">
        <f>H69</f>
        <v>0</v>
      </c>
      <c r="I70" s="50">
        <f>I69</f>
        <v>0</v>
      </c>
      <c r="J70" s="58">
        <v>2</v>
      </c>
      <c r="K70" s="50">
        <f>IF(命令簿!D71&lt;&gt;"",命令簿!D71,0)</f>
        <v>0</v>
      </c>
      <c r="L70" s="50">
        <f>IF(命令簿!G71&lt;&gt;"",命令簿!G71,IF(命令簿!F71&lt;&gt;"",命令簿!F71,0))</f>
        <v>0</v>
      </c>
      <c r="M70" s="50">
        <f>IF(命令簿!I71&lt;&gt;"",命令簿!I71,$L70)</f>
        <v>0</v>
      </c>
      <c r="N70" s="50">
        <f>IF(命令簿!I71&lt;&gt;"",命令簿!F71,L70)</f>
        <v>0</v>
      </c>
      <c r="O70" s="50">
        <f t="shared" si="10"/>
        <v>0</v>
      </c>
      <c r="P70" s="355"/>
      <c r="R70" s="31">
        <f t="shared" si="38"/>
        <v>0</v>
      </c>
      <c r="S70" s="31">
        <f t="shared" si="39"/>
        <v>0</v>
      </c>
      <c r="T70" s="31">
        <f t="shared" si="40"/>
        <v>0</v>
      </c>
      <c r="U70" s="31">
        <f t="shared" si="41"/>
        <v>0</v>
      </c>
      <c r="V70" s="31">
        <f t="shared" si="42"/>
        <v>0</v>
      </c>
      <c r="W70" s="31">
        <f t="shared" si="31"/>
        <v>0</v>
      </c>
      <c r="X70" s="31">
        <f t="shared" si="47"/>
        <v>0</v>
      </c>
      <c r="Y70" s="31">
        <f t="shared" si="68"/>
        <v>0</v>
      </c>
      <c r="Z70" s="31">
        <f t="shared" si="68"/>
        <v>0</v>
      </c>
      <c r="AA70" s="31">
        <f t="shared" si="68"/>
        <v>0</v>
      </c>
      <c r="AB70" s="31">
        <f t="shared" si="68"/>
        <v>0</v>
      </c>
      <c r="AC70" s="31">
        <f t="shared" si="46"/>
        <v>0</v>
      </c>
      <c r="AD70" s="31">
        <f t="shared" si="43"/>
        <v>0</v>
      </c>
      <c r="AE70" s="31">
        <f t="shared" si="48"/>
        <v>0</v>
      </c>
      <c r="AF70" s="31">
        <f t="shared" si="49"/>
        <v>0</v>
      </c>
      <c r="AG70" s="31">
        <f t="shared" si="69"/>
        <v>0</v>
      </c>
      <c r="AH70" s="31">
        <f t="shared" si="69"/>
        <v>0</v>
      </c>
      <c r="AI70" s="31">
        <f t="shared" si="69"/>
        <v>0</v>
      </c>
      <c r="AJ70" s="31">
        <f t="shared" si="69"/>
        <v>0</v>
      </c>
      <c r="AK70" s="31">
        <f t="shared" si="69"/>
        <v>0</v>
      </c>
      <c r="AL70" s="31">
        <f t="shared" si="69"/>
        <v>0</v>
      </c>
      <c r="AM70" s="31">
        <f t="shared" si="69"/>
        <v>0</v>
      </c>
      <c r="AN70" s="31">
        <f t="shared" si="69"/>
        <v>0</v>
      </c>
      <c r="AO70" s="31">
        <f t="shared" si="69"/>
        <v>0</v>
      </c>
      <c r="AP70" s="31">
        <f t="shared" si="69"/>
        <v>0</v>
      </c>
      <c r="AQ70" s="31">
        <f t="shared" si="69"/>
        <v>0</v>
      </c>
      <c r="AR70" s="31">
        <f t="shared" si="69"/>
        <v>0</v>
      </c>
      <c r="AS70" s="31">
        <f t="shared" si="69"/>
        <v>0</v>
      </c>
      <c r="AT70" s="31">
        <f t="shared" si="69"/>
        <v>0</v>
      </c>
      <c r="AU70" s="31">
        <f t="shared" si="69"/>
        <v>0</v>
      </c>
      <c r="AW70" s="22">
        <f t="shared" si="50"/>
        <v>0</v>
      </c>
      <c r="AX70" s="22">
        <f t="shared" si="51"/>
        <v>0</v>
      </c>
      <c r="AY70" s="22">
        <f t="shared" si="52"/>
        <v>0</v>
      </c>
      <c r="AZ70" s="22">
        <f t="shared" si="53"/>
        <v>0</v>
      </c>
      <c r="BA70" s="22">
        <f t="shared" si="54"/>
        <v>0</v>
      </c>
      <c r="BB70" s="22">
        <f t="shared" si="55"/>
        <v>0</v>
      </c>
      <c r="BC70" s="22">
        <f t="shared" si="56"/>
        <v>0</v>
      </c>
      <c r="BD70" s="22">
        <f t="shared" si="57"/>
        <v>0</v>
      </c>
      <c r="BE70" s="22">
        <f t="shared" si="58"/>
        <v>0</v>
      </c>
      <c r="BF70" s="22">
        <f t="shared" si="59"/>
        <v>0</v>
      </c>
      <c r="BG70" s="22">
        <f t="shared" si="60"/>
        <v>0</v>
      </c>
      <c r="BH70" s="22">
        <f t="shared" si="61"/>
        <v>0</v>
      </c>
      <c r="BI70" s="22">
        <f t="shared" si="62"/>
        <v>0</v>
      </c>
      <c r="BJ70" s="22">
        <f t="shared" si="63"/>
        <v>0</v>
      </c>
      <c r="BK70" s="22">
        <f t="shared" si="64"/>
        <v>0</v>
      </c>
      <c r="BL70" s="22">
        <f t="shared" si="65"/>
        <v>0</v>
      </c>
      <c r="BM70" s="22" t="str">
        <f t="shared" si="66"/>
        <v>OK</v>
      </c>
    </row>
    <row r="71" spans="1:65">
      <c r="A71" s="29">
        <f>A70</f>
        <v>41100</v>
      </c>
      <c r="B71">
        <f>B70</f>
        <v>0</v>
      </c>
      <c r="C71" t="b">
        <f>VLOOKUP($B71,勤務形態オプション!$A$3:$D$10,C$6,FALSE)</f>
        <v>1</v>
      </c>
      <c r="D71" t="b">
        <f>VLOOKUP($B71,勤務形態オプション!$A$3:$D$10,D$6,FALSE)</f>
        <v>0</v>
      </c>
      <c r="E71" t="b">
        <f>VLOOKUP($B71,勤務形態オプション!$A$3:$D$10,E$6,FALSE)</f>
        <v>0</v>
      </c>
      <c r="F71" s="50">
        <f>F69</f>
        <v>0</v>
      </c>
      <c r="G71" s="50">
        <f>G69</f>
        <v>0</v>
      </c>
      <c r="H71" s="50">
        <f>H69</f>
        <v>0</v>
      </c>
      <c r="I71" s="50">
        <f>I69</f>
        <v>0</v>
      </c>
      <c r="J71" s="58">
        <v>3</v>
      </c>
      <c r="K71" s="50">
        <f>IF(命令簿!D72&lt;&gt;"",命令簿!D72,0)</f>
        <v>0</v>
      </c>
      <c r="L71" s="50">
        <f>IF(命令簿!G72&lt;&gt;"",命令簿!G72,IF(命令簿!F72&lt;&gt;"",命令簿!F72,0))</f>
        <v>0</v>
      </c>
      <c r="M71" s="50">
        <f>IF(命令簿!I72&lt;&gt;"",命令簿!I72,$L71)</f>
        <v>0</v>
      </c>
      <c r="N71" s="50">
        <f>IF(命令簿!I72&lt;&gt;"",命令簿!F72,L71)</f>
        <v>0</v>
      </c>
      <c r="O71" s="50">
        <f t="shared" si="10"/>
        <v>0</v>
      </c>
      <c r="P71" s="355"/>
      <c r="R71" s="31">
        <f t="shared" si="38"/>
        <v>0</v>
      </c>
      <c r="S71" s="31">
        <f t="shared" si="39"/>
        <v>0</v>
      </c>
      <c r="T71" s="31">
        <f t="shared" si="40"/>
        <v>0</v>
      </c>
      <c r="U71" s="31">
        <f t="shared" si="41"/>
        <v>0</v>
      </c>
      <c r="V71" s="31">
        <f t="shared" si="42"/>
        <v>0</v>
      </c>
      <c r="W71" s="31">
        <f t="shared" si="31"/>
        <v>0</v>
      </c>
      <c r="X71" s="31">
        <f t="shared" si="47"/>
        <v>0</v>
      </c>
      <c r="Y71" s="31">
        <f t="shared" si="68"/>
        <v>0</v>
      </c>
      <c r="Z71" s="31">
        <f t="shared" si="68"/>
        <v>0</v>
      </c>
      <c r="AA71" s="31">
        <f t="shared" si="68"/>
        <v>0</v>
      </c>
      <c r="AB71" s="31">
        <f t="shared" si="68"/>
        <v>0</v>
      </c>
      <c r="AC71" s="31">
        <f t="shared" si="46"/>
        <v>0</v>
      </c>
      <c r="AD71" s="31">
        <f t="shared" si="43"/>
        <v>0</v>
      </c>
      <c r="AE71" s="31">
        <f t="shared" si="48"/>
        <v>0</v>
      </c>
      <c r="AF71" s="31">
        <f t="shared" si="49"/>
        <v>0</v>
      </c>
      <c r="AG71" s="31">
        <f t="shared" si="69"/>
        <v>0</v>
      </c>
      <c r="AH71" s="31">
        <f t="shared" si="69"/>
        <v>0</v>
      </c>
      <c r="AI71" s="31">
        <f t="shared" si="69"/>
        <v>0</v>
      </c>
      <c r="AJ71" s="31">
        <f t="shared" si="69"/>
        <v>0</v>
      </c>
      <c r="AK71" s="31">
        <f t="shared" si="69"/>
        <v>0</v>
      </c>
      <c r="AL71" s="31">
        <f t="shared" si="69"/>
        <v>0</v>
      </c>
      <c r="AM71" s="31">
        <f t="shared" si="69"/>
        <v>0</v>
      </c>
      <c r="AN71" s="31">
        <f t="shared" si="69"/>
        <v>0</v>
      </c>
      <c r="AO71" s="31">
        <f t="shared" si="69"/>
        <v>0</v>
      </c>
      <c r="AP71" s="31">
        <f t="shared" si="69"/>
        <v>0</v>
      </c>
      <c r="AQ71" s="31">
        <f t="shared" si="69"/>
        <v>0</v>
      </c>
      <c r="AR71" s="31">
        <f t="shared" si="69"/>
        <v>0</v>
      </c>
      <c r="AS71" s="31">
        <f t="shared" si="69"/>
        <v>0</v>
      </c>
      <c r="AT71" s="31">
        <f t="shared" si="69"/>
        <v>0</v>
      </c>
      <c r="AU71" s="31">
        <f t="shared" si="69"/>
        <v>0</v>
      </c>
      <c r="AW71" s="22">
        <f t="shared" si="50"/>
        <v>0</v>
      </c>
      <c r="AX71" s="22">
        <f t="shared" si="51"/>
        <v>0</v>
      </c>
      <c r="AY71" s="22">
        <f t="shared" si="52"/>
        <v>0</v>
      </c>
      <c r="AZ71" s="22">
        <f t="shared" si="53"/>
        <v>0</v>
      </c>
      <c r="BA71" s="22">
        <f t="shared" si="54"/>
        <v>0</v>
      </c>
      <c r="BB71" s="22">
        <f t="shared" si="55"/>
        <v>0</v>
      </c>
      <c r="BC71" s="22">
        <f t="shared" si="56"/>
        <v>0</v>
      </c>
      <c r="BD71" s="22">
        <f t="shared" si="57"/>
        <v>0</v>
      </c>
      <c r="BE71" s="22">
        <f t="shared" si="58"/>
        <v>0</v>
      </c>
      <c r="BF71" s="22">
        <f t="shared" si="59"/>
        <v>0</v>
      </c>
      <c r="BG71" s="22">
        <f t="shared" si="60"/>
        <v>0</v>
      </c>
      <c r="BH71" s="22">
        <f t="shared" si="61"/>
        <v>0</v>
      </c>
      <c r="BI71" s="22">
        <f t="shared" si="62"/>
        <v>0</v>
      </c>
      <c r="BJ71" s="22">
        <f t="shared" si="63"/>
        <v>0</v>
      </c>
      <c r="BK71" s="22">
        <f t="shared" si="64"/>
        <v>0</v>
      </c>
      <c r="BL71" s="22">
        <f t="shared" si="65"/>
        <v>0</v>
      </c>
      <c r="BM71" s="22" t="str">
        <f t="shared" si="66"/>
        <v>OK</v>
      </c>
    </row>
    <row r="72" spans="1:65">
      <c r="A72" s="29">
        <f>補助簿!B72</f>
        <v>41101</v>
      </c>
      <c r="B72" s="150">
        <f>命令簿!C75</f>
        <v>0</v>
      </c>
      <c r="C72" t="b">
        <f>VLOOKUP($B72,勤務形態オプション!$A$3:$D$10,C$6,FALSE)</f>
        <v>1</v>
      </c>
      <c r="D72" t="b">
        <f>VLOOKUP($B72,勤務形態オプション!$A$3:$D$10,D$6,FALSE)</f>
        <v>0</v>
      </c>
      <c r="E72" t="b">
        <f>VLOOKUP($B72,勤務形態オプション!$A$3:$D$10,E$6,FALSE)</f>
        <v>0</v>
      </c>
      <c r="F72" s="50">
        <f>補助簿!$E72</f>
        <v>0</v>
      </c>
      <c r="G72" s="50">
        <f>補助簿!$F72</f>
        <v>0</v>
      </c>
      <c r="H72" s="50">
        <f>補助簿!$C72</f>
        <v>0</v>
      </c>
      <c r="I72" s="50">
        <f>補助簿!$D72</f>
        <v>0</v>
      </c>
      <c r="J72" s="58">
        <v>1</v>
      </c>
      <c r="K72" s="50">
        <f>IF(命令簿!D73&lt;&gt;"",命令簿!D73,0)</f>
        <v>0</v>
      </c>
      <c r="L72" s="50">
        <f>IF(命令簿!G73&lt;&gt;"",命令簿!G73,IF(命令簿!F73&lt;&gt;"",命令簿!F73,0))</f>
        <v>0</v>
      </c>
      <c r="M72" s="50">
        <f>IF(命令簿!I73&lt;&gt;"",命令簿!I73,$L72)</f>
        <v>0</v>
      </c>
      <c r="N72" s="50">
        <f>IF(命令簿!I73&lt;&gt;"",命令簿!F73,L72)</f>
        <v>0</v>
      </c>
      <c r="O72" s="50">
        <f t="shared" si="10"/>
        <v>0</v>
      </c>
      <c r="P72" s="355">
        <f>SUM(O72:O74)</f>
        <v>0</v>
      </c>
      <c r="R72" s="31">
        <f t="shared" si="38"/>
        <v>0</v>
      </c>
      <c r="S72" s="31">
        <f t="shared" si="39"/>
        <v>0</v>
      </c>
      <c r="T72" s="31">
        <f t="shared" si="40"/>
        <v>0</v>
      </c>
      <c r="U72" s="31">
        <f t="shared" si="41"/>
        <v>0</v>
      </c>
      <c r="V72" s="31">
        <f t="shared" si="42"/>
        <v>0</v>
      </c>
      <c r="W72" s="31">
        <f t="shared" si="31"/>
        <v>0</v>
      </c>
      <c r="X72" s="31">
        <f t="shared" si="47"/>
        <v>0</v>
      </c>
      <c r="Y72" s="31">
        <f t="shared" si="68"/>
        <v>0</v>
      </c>
      <c r="Z72" s="31">
        <f t="shared" si="68"/>
        <v>0</v>
      </c>
      <c r="AA72" s="31">
        <f t="shared" si="68"/>
        <v>0</v>
      </c>
      <c r="AB72" s="31">
        <f t="shared" si="68"/>
        <v>0</v>
      </c>
      <c r="AC72" s="31">
        <f t="shared" si="46"/>
        <v>0</v>
      </c>
      <c r="AD72" s="31">
        <f t="shared" si="43"/>
        <v>0</v>
      </c>
      <c r="AE72" s="31">
        <f t="shared" si="48"/>
        <v>0</v>
      </c>
      <c r="AF72" s="31">
        <f t="shared" si="49"/>
        <v>0</v>
      </c>
      <c r="AG72" s="31">
        <f t="shared" si="69"/>
        <v>0</v>
      </c>
      <c r="AH72" s="31">
        <f t="shared" si="69"/>
        <v>0</v>
      </c>
      <c r="AI72" s="31">
        <f t="shared" si="69"/>
        <v>0</v>
      </c>
      <c r="AJ72" s="31">
        <f t="shared" si="69"/>
        <v>0</v>
      </c>
      <c r="AK72" s="31">
        <f t="shared" si="69"/>
        <v>0</v>
      </c>
      <c r="AL72" s="31">
        <f t="shared" si="69"/>
        <v>0</v>
      </c>
      <c r="AM72" s="31">
        <f t="shared" si="69"/>
        <v>0</v>
      </c>
      <c r="AN72" s="31">
        <f t="shared" si="69"/>
        <v>0</v>
      </c>
      <c r="AO72" s="31">
        <f t="shared" si="69"/>
        <v>0</v>
      </c>
      <c r="AP72" s="31">
        <f t="shared" si="69"/>
        <v>0</v>
      </c>
      <c r="AQ72" s="31">
        <f t="shared" si="69"/>
        <v>0</v>
      </c>
      <c r="AR72" s="31">
        <f t="shared" si="69"/>
        <v>0</v>
      </c>
      <c r="AS72" s="31">
        <f t="shared" si="69"/>
        <v>0</v>
      </c>
      <c r="AT72" s="31">
        <f t="shared" si="69"/>
        <v>0</v>
      </c>
      <c r="AU72" s="31">
        <f t="shared" si="69"/>
        <v>0</v>
      </c>
      <c r="AW72" s="22">
        <f t="shared" si="50"/>
        <v>0</v>
      </c>
      <c r="AX72" s="22">
        <f t="shared" si="51"/>
        <v>0</v>
      </c>
      <c r="AY72" s="22">
        <f t="shared" si="52"/>
        <v>0</v>
      </c>
      <c r="AZ72" s="22">
        <f t="shared" si="53"/>
        <v>0</v>
      </c>
      <c r="BA72" s="22">
        <f t="shared" si="54"/>
        <v>0</v>
      </c>
      <c r="BB72" s="22">
        <f t="shared" si="55"/>
        <v>0</v>
      </c>
      <c r="BC72" s="22">
        <f t="shared" si="56"/>
        <v>0</v>
      </c>
      <c r="BD72" s="22">
        <f t="shared" si="57"/>
        <v>0</v>
      </c>
      <c r="BE72" s="22">
        <f t="shared" si="58"/>
        <v>0</v>
      </c>
      <c r="BF72" s="22">
        <f t="shared" si="59"/>
        <v>0</v>
      </c>
      <c r="BG72" s="22">
        <f t="shared" si="60"/>
        <v>0</v>
      </c>
      <c r="BH72" s="22">
        <f t="shared" si="61"/>
        <v>0</v>
      </c>
      <c r="BI72" s="22">
        <f t="shared" si="62"/>
        <v>0</v>
      </c>
      <c r="BJ72" s="22">
        <f t="shared" si="63"/>
        <v>0</v>
      </c>
      <c r="BK72" s="22">
        <f t="shared" si="64"/>
        <v>0</v>
      </c>
      <c r="BL72" s="22">
        <f t="shared" si="65"/>
        <v>0</v>
      </c>
      <c r="BM72" s="22" t="str">
        <f t="shared" si="66"/>
        <v>OK</v>
      </c>
    </row>
    <row r="73" spans="1:65">
      <c r="A73" s="29">
        <f>A72</f>
        <v>41101</v>
      </c>
      <c r="B73">
        <f>B72</f>
        <v>0</v>
      </c>
      <c r="C73" t="b">
        <f>VLOOKUP($B73,勤務形態オプション!$A$3:$D$10,C$6,FALSE)</f>
        <v>1</v>
      </c>
      <c r="D73" t="b">
        <f>VLOOKUP($B73,勤務形態オプション!$A$3:$D$10,D$6,FALSE)</f>
        <v>0</v>
      </c>
      <c r="E73" t="b">
        <f>VLOOKUP($B73,勤務形態オプション!$A$3:$D$10,E$6,FALSE)</f>
        <v>0</v>
      </c>
      <c r="F73" s="50">
        <f>F72</f>
        <v>0</v>
      </c>
      <c r="G73" s="50">
        <f>G72</f>
        <v>0</v>
      </c>
      <c r="H73" s="50">
        <f>H72</f>
        <v>0</v>
      </c>
      <c r="I73" s="50">
        <f>I72</f>
        <v>0</v>
      </c>
      <c r="J73" s="58">
        <v>2</v>
      </c>
      <c r="K73" s="50">
        <f>IF(命令簿!D74&lt;&gt;"",命令簿!D74,0)</f>
        <v>0</v>
      </c>
      <c r="L73" s="50">
        <f>IF(命令簿!G74&lt;&gt;"",命令簿!G74,IF(命令簿!F74&lt;&gt;"",命令簿!F74,0))</f>
        <v>0</v>
      </c>
      <c r="M73" s="50">
        <f>IF(命令簿!I74&lt;&gt;"",命令簿!I74,$L73)</f>
        <v>0</v>
      </c>
      <c r="N73" s="50">
        <f>IF(命令簿!I74&lt;&gt;"",命令簿!F74,L73)</f>
        <v>0</v>
      </c>
      <c r="O73" s="50">
        <f t="shared" si="10"/>
        <v>0</v>
      </c>
      <c r="P73" s="355"/>
      <c r="R73" s="31">
        <f t="shared" ref="R73:R101" si="70">GetTimeAmount($K73,$L73,$M73,$N73,R$7,R$8)</f>
        <v>0</v>
      </c>
      <c r="S73" s="31">
        <f t="shared" ref="S73:S101" si="71">GetTimeAmountNormal($D73,$E73,$F73,$G73,$H73,$I73,$K73,$L73,$M73,$N73)</f>
        <v>0</v>
      </c>
      <c r="T73" s="31">
        <f t="shared" ref="T73:T101" si="72">GetTimeAmountUntil2200($D73,$E73,$F73,$G73,$H73,$I73,$K73,$L73,$M73,$N73)</f>
        <v>0</v>
      </c>
      <c r="U73" s="31">
        <f t="shared" ref="U73:U101" si="73">GetTimeAmount($K73,$L73,$M73,$N73,U$7,U$8)</f>
        <v>0</v>
      </c>
      <c r="V73" s="31">
        <f t="shared" ref="V73:V101" si="74">IF(E73,R73+S73+T73+U73,+T73+U73+R73)</f>
        <v>0</v>
      </c>
      <c r="W73" s="31">
        <f t="shared" si="31"/>
        <v>0</v>
      </c>
      <c r="X73" s="31">
        <f t="shared" si="47"/>
        <v>0</v>
      </c>
      <c r="Y73" s="31">
        <f t="shared" si="68"/>
        <v>0</v>
      </c>
      <c r="Z73" s="31">
        <f t="shared" si="68"/>
        <v>0</v>
      </c>
      <c r="AA73" s="31">
        <f t="shared" si="68"/>
        <v>0</v>
      </c>
      <c r="AB73" s="31">
        <f t="shared" si="68"/>
        <v>0</v>
      </c>
      <c r="AC73" s="31">
        <f t="shared" si="46"/>
        <v>0</v>
      </c>
      <c r="AD73" s="31">
        <f t="shared" ref="AD73:AD101" si="75">IF(E73,S73-Z73,IF(D73,S73,0))</f>
        <v>0</v>
      </c>
      <c r="AE73" s="31">
        <f t="shared" si="48"/>
        <v>0</v>
      </c>
      <c r="AF73" s="31">
        <f t="shared" si="49"/>
        <v>0</v>
      </c>
      <c r="AG73" s="31">
        <f t="shared" si="69"/>
        <v>0</v>
      </c>
      <c r="AH73" s="31">
        <f t="shared" si="69"/>
        <v>0</v>
      </c>
      <c r="AI73" s="31">
        <f t="shared" si="69"/>
        <v>0</v>
      </c>
      <c r="AJ73" s="31">
        <f t="shared" si="69"/>
        <v>0</v>
      </c>
      <c r="AK73" s="31">
        <f t="shared" si="69"/>
        <v>0</v>
      </c>
      <c r="AL73" s="31">
        <f t="shared" si="69"/>
        <v>0</v>
      </c>
      <c r="AM73" s="31">
        <f t="shared" si="69"/>
        <v>0</v>
      </c>
      <c r="AN73" s="31">
        <f t="shared" si="69"/>
        <v>0</v>
      </c>
      <c r="AO73" s="31">
        <f t="shared" si="69"/>
        <v>0</v>
      </c>
      <c r="AP73" s="31">
        <f t="shared" si="69"/>
        <v>0</v>
      </c>
      <c r="AQ73" s="31">
        <f t="shared" si="69"/>
        <v>0</v>
      </c>
      <c r="AR73" s="31">
        <f t="shared" si="69"/>
        <v>0</v>
      </c>
      <c r="AS73" s="31">
        <f t="shared" si="69"/>
        <v>0</v>
      </c>
      <c r="AT73" s="31">
        <f t="shared" si="69"/>
        <v>0</v>
      </c>
      <c r="AU73" s="31">
        <f t="shared" si="69"/>
        <v>0</v>
      </c>
      <c r="AW73" s="22">
        <f t="shared" si="50"/>
        <v>0</v>
      </c>
      <c r="AX73" s="22">
        <f t="shared" si="51"/>
        <v>0</v>
      </c>
      <c r="AY73" s="22">
        <f t="shared" si="52"/>
        <v>0</v>
      </c>
      <c r="AZ73" s="22">
        <f t="shared" si="53"/>
        <v>0</v>
      </c>
      <c r="BA73" s="22">
        <f t="shared" si="54"/>
        <v>0</v>
      </c>
      <c r="BB73" s="22">
        <f t="shared" si="55"/>
        <v>0</v>
      </c>
      <c r="BC73" s="22">
        <f t="shared" si="56"/>
        <v>0</v>
      </c>
      <c r="BD73" s="22">
        <f t="shared" si="57"/>
        <v>0</v>
      </c>
      <c r="BE73" s="22">
        <f t="shared" si="58"/>
        <v>0</v>
      </c>
      <c r="BF73" s="22">
        <f t="shared" si="59"/>
        <v>0</v>
      </c>
      <c r="BG73" s="22">
        <f t="shared" si="60"/>
        <v>0</v>
      </c>
      <c r="BH73" s="22">
        <f t="shared" si="61"/>
        <v>0</v>
      </c>
      <c r="BI73" s="22">
        <f t="shared" si="62"/>
        <v>0</v>
      </c>
      <c r="BJ73" s="22">
        <f t="shared" si="63"/>
        <v>0</v>
      </c>
      <c r="BK73" s="22">
        <f t="shared" si="64"/>
        <v>0</v>
      </c>
      <c r="BL73" s="22">
        <f t="shared" si="65"/>
        <v>0</v>
      </c>
      <c r="BM73" s="22" t="str">
        <f t="shared" si="66"/>
        <v>OK</v>
      </c>
    </row>
    <row r="74" spans="1:65">
      <c r="A74" s="29">
        <f>A73</f>
        <v>41101</v>
      </c>
      <c r="B74">
        <f>B73</f>
        <v>0</v>
      </c>
      <c r="C74" t="b">
        <f>VLOOKUP($B74,勤務形態オプション!$A$3:$D$10,C$6,FALSE)</f>
        <v>1</v>
      </c>
      <c r="D74" t="b">
        <f>VLOOKUP($B74,勤務形態オプション!$A$3:$D$10,D$6,FALSE)</f>
        <v>0</v>
      </c>
      <c r="E74" t="b">
        <f>VLOOKUP($B74,勤務形態オプション!$A$3:$D$10,E$6,FALSE)</f>
        <v>0</v>
      </c>
      <c r="F74" s="50">
        <f>F72</f>
        <v>0</v>
      </c>
      <c r="G74" s="50">
        <f>G72</f>
        <v>0</v>
      </c>
      <c r="H74" s="50">
        <f>H72</f>
        <v>0</v>
      </c>
      <c r="I74" s="50">
        <f>I72</f>
        <v>0</v>
      </c>
      <c r="J74" s="58">
        <v>3</v>
      </c>
      <c r="K74" s="50">
        <f>IF(命令簿!D75&lt;&gt;"",命令簿!D75,0)</f>
        <v>0</v>
      </c>
      <c r="L74" s="50">
        <f>IF(命令簿!G75&lt;&gt;"",命令簿!G75,IF(命令簿!F75&lt;&gt;"",命令簿!F75,0))</f>
        <v>0</v>
      </c>
      <c r="M74" s="50">
        <f>IF(命令簿!I75&lt;&gt;"",命令簿!I75,$L74)</f>
        <v>0</v>
      </c>
      <c r="N74" s="50">
        <f>IF(命令簿!I75&lt;&gt;"",命令簿!F75,L74)</f>
        <v>0</v>
      </c>
      <c r="O74" s="50">
        <f t="shared" ref="O74:O101" si="76">ROUND(L74-K74,7)</f>
        <v>0</v>
      </c>
      <c r="P74" s="355"/>
      <c r="R74" s="31">
        <f t="shared" si="70"/>
        <v>0</v>
      </c>
      <c r="S74" s="31">
        <f t="shared" si="71"/>
        <v>0</v>
      </c>
      <c r="T74" s="31">
        <f t="shared" si="72"/>
        <v>0</v>
      </c>
      <c r="U74" s="31">
        <f t="shared" si="73"/>
        <v>0</v>
      </c>
      <c r="V74" s="31">
        <f t="shared" si="74"/>
        <v>0</v>
      </c>
      <c r="W74" s="31">
        <f t="shared" si="31"/>
        <v>0</v>
      </c>
      <c r="X74" s="31">
        <f t="shared" si="47"/>
        <v>0</v>
      </c>
      <c r="Y74" s="31">
        <f t="shared" si="68"/>
        <v>0</v>
      </c>
      <c r="Z74" s="31">
        <f t="shared" si="68"/>
        <v>0</v>
      </c>
      <c r="AA74" s="31">
        <f t="shared" si="68"/>
        <v>0</v>
      </c>
      <c r="AB74" s="31">
        <f t="shared" si="68"/>
        <v>0</v>
      </c>
      <c r="AC74" s="31">
        <f t="shared" si="46"/>
        <v>0</v>
      </c>
      <c r="AD74" s="31">
        <f t="shared" si="75"/>
        <v>0</v>
      </c>
      <c r="AE74" s="31">
        <f t="shared" si="48"/>
        <v>0</v>
      </c>
      <c r="AF74" s="31">
        <f t="shared" si="49"/>
        <v>0</v>
      </c>
      <c r="AG74" s="31">
        <f t="shared" si="69"/>
        <v>0</v>
      </c>
      <c r="AH74" s="31">
        <f t="shared" si="69"/>
        <v>0</v>
      </c>
      <c r="AI74" s="31">
        <f t="shared" si="69"/>
        <v>0</v>
      </c>
      <c r="AJ74" s="31">
        <f t="shared" si="69"/>
        <v>0</v>
      </c>
      <c r="AK74" s="31">
        <f t="shared" si="69"/>
        <v>0</v>
      </c>
      <c r="AL74" s="31">
        <f t="shared" si="69"/>
        <v>0</v>
      </c>
      <c r="AM74" s="31">
        <f t="shared" si="69"/>
        <v>0</v>
      </c>
      <c r="AN74" s="31">
        <f t="shared" si="69"/>
        <v>0</v>
      </c>
      <c r="AO74" s="31">
        <f t="shared" si="69"/>
        <v>0</v>
      </c>
      <c r="AP74" s="31">
        <f t="shared" si="69"/>
        <v>0</v>
      </c>
      <c r="AQ74" s="31">
        <f t="shared" si="69"/>
        <v>0</v>
      </c>
      <c r="AR74" s="31">
        <f t="shared" si="69"/>
        <v>0</v>
      </c>
      <c r="AS74" s="31">
        <f t="shared" si="69"/>
        <v>0</v>
      </c>
      <c r="AT74" s="31">
        <f t="shared" si="69"/>
        <v>0</v>
      </c>
      <c r="AU74" s="31">
        <f t="shared" si="69"/>
        <v>0</v>
      </c>
      <c r="AW74" s="22">
        <f t="shared" si="50"/>
        <v>0</v>
      </c>
      <c r="AX74" s="22">
        <f t="shared" si="51"/>
        <v>0</v>
      </c>
      <c r="AY74" s="22">
        <f t="shared" si="52"/>
        <v>0</v>
      </c>
      <c r="AZ74" s="22">
        <f t="shared" si="53"/>
        <v>0</v>
      </c>
      <c r="BA74" s="22">
        <f t="shared" si="54"/>
        <v>0</v>
      </c>
      <c r="BB74" s="22">
        <f t="shared" si="55"/>
        <v>0</v>
      </c>
      <c r="BC74" s="22">
        <f t="shared" si="56"/>
        <v>0</v>
      </c>
      <c r="BD74" s="22">
        <f t="shared" si="57"/>
        <v>0</v>
      </c>
      <c r="BE74" s="22">
        <f t="shared" si="58"/>
        <v>0</v>
      </c>
      <c r="BF74" s="22">
        <f t="shared" si="59"/>
        <v>0</v>
      </c>
      <c r="BG74" s="22">
        <f t="shared" si="60"/>
        <v>0</v>
      </c>
      <c r="BH74" s="22">
        <f t="shared" si="61"/>
        <v>0</v>
      </c>
      <c r="BI74" s="22">
        <f t="shared" si="62"/>
        <v>0</v>
      </c>
      <c r="BJ74" s="22">
        <f t="shared" si="63"/>
        <v>0</v>
      </c>
      <c r="BK74" s="22">
        <f t="shared" si="64"/>
        <v>0</v>
      </c>
      <c r="BL74" s="22">
        <f t="shared" si="65"/>
        <v>0</v>
      </c>
      <c r="BM74" s="22" t="str">
        <f t="shared" si="66"/>
        <v>OK</v>
      </c>
    </row>
    <row r="75" spans="1:65">
      <c r="A75" s="29">
        <f>補助簿!B75</f>
        <v>41102</v>
      </c>
      <c r="B75" s="151">
        <f>命令簿!C78</f>
        <v>0</v>
      </c>
      <c r="C75" t="b">
        <f>VLOOKUP($B75,勤務形態オプション!$A$3:$D$10,C$6,FALSE)</f>
        <v>1</v>
      </c>
      <c r="D75" t="b">
        <f>VLOOKUP($B75,勤務形態オプション!$A$3:$D$10,D$6,FALSE)</f>
        <v>0</v>
      </c>
      <c r="E75" t="b">
        <f>VLOOKUP($B75,勤務形態オプション!$A$3:$D$10,E$6,FALSE)</f>
        <v>0</v>
      </c>
      <c r="F75" s="50">
        <f>補助簿!$E75</f>
        <v>0</v>
      </c>
      <c r="G75" s="50">
        <f>補助簿!$F75</f>
        <v>0</v>
      </c>
      <c r="H75" s="50">
        <f>補助簿!$C75</f>
        <v>0</v>
      </c>
      <c r="I75" s="50">
        <f>補助簿!$D75</f>
        <v>0</v>
      </c>
      <c r="J75" s="58">
        <v>1</v>
      </c>
      <c r="K75" s="50">
        <f>IF(命令簿!D76&lt;&gt;"",命令簿!D76,0)</f>
        <v>0</v>
      </c>
      <c r="L75" s="50">
        <f>IF(命令簿!G76&lt;&gt;"",命令簿!G76,IF(命令簿!F76&lt;&gt;"",命令簿!F76,0))</f>
        <v>0</v>
      </c>
      <c r="M75" s="50">
        <f>IF(命令簿!I76&lt;&gt;"",命令簿!I76,$L75)</f>
        <v>0</v>
      </c>
      <c r="N75" s="50">
        <f>IF(命令簿!I76&lt;&gt;"",命令簿!F76,L75)</f>
        <v>0</v>
      </c>
      <c r="O75" s="50">
        <f t="shared" si="76"/>
        <v>0</v>
      </c>
      <c r="P75" s="355">
        <f>SUM(O75:O77)</f>
        <v>0</v>
      </c>
      <c r="R75" s="31">
        <f t="shared" si="70"/>
        <v>0</v>
      </c>
      <c r="S75" s="31">
        <f t="shared" si="71"/>
        <v>0</v>
      </c>
      <c r="T75" s="31">
        <f t="shared" si="72"/>
        <v>0</v>
      </c>
      <c r="U75" s="31">
        <f t="shared" si="73"/>
        <v>0</v>
      </c>
      <c r="V75" s="31">
        <f t="shared" si="74"/>
        <v>0</v>
      </c>
      <c r="W75" s="31">
        <f t="shared" ref="W75:W101" si="77">W74+V75</f>
        <v>0</v>
      </c>
      <c r="X75" s="31">
        <f t="shared" si="47"/>
        <v>0</v>
      </c>
      <c r="Y75" s="31">
        <f t="shared" si="68"/>
        <v>0</v>
      </c>
      <c r="Z75" s="31">
        <f t="shared" si="68"/>
        <v>0</v>
      </c>
      <c r="AA75" s="31">
        <f t="shared" si="68"/>
        <v>0</v>
      </c>
      <c r="AB75" s="31">
        <f t="shared" si="68"/>
        <v>0</v>
      </c>
      <c r="AC75" s="31">
        <f t="shared" si="46"/>
        <v>0</v>
      </c>
      <c r="AD75" s="31">
        <f t="shared" si="75"/>
        <v>0</v>
      </c>
      <c r="AE75" s="31">
        <f t="shared" si="48"/>
        <v>0</v>
      </c>
      <c r="AF75" s="31">
        <f t="shared" si="49"/>
        <v>0</v>
      </c>
      <c r="AG75" s="31">
        <f t="shared" si="69"/>
        <v>0</v>
      </c>
      <c r="AH75" s="31">
        <f t="shared" si="69"/>
        <v>0</v>
      </c>
      <c r="AI75" s="31">
        <f t="shared" si="69"/>
        <v>0</v>
      </c>
      <c r="AJ75" s="31">
        <f t="shared" si="69"/>
        <v>0</v>
      </c>
      <c r="AK75" s="31">
        <f t="shared" si="69"/>
        <v>0</v>
      </c>
      <c r="AL75" s="31">
        <f t="shared" si="69"/>
        <v>0</v>
      </c>
      <c r="AM75" s="31">
        <f t="shared" si="69"/>
        <v>0</v>
      </c>
      <c r="AN75" s="31">
        <f t="shared" si="69"/>
        <v>0</v>
      </c>
      <c r="AO75" s="31">
        <f t="shared" si="69"/>
        <v>0</v>
      </c>
      <c r="AP75" s="31">
        <f t="shared" si="69"/>
        <v>0</v>
      </c>
      <c r="AQ75" s="31">
        <f t="shared" si="69"/>
        <v>0</v>
      </c>
      <c r="AR75" s="31">
        <f t="shared" si="69"/>
        <v>0</v>
      </c>
      <c r="AS75" s="31">
        <f t="shared" si="69"/>
        <v>0</v>
      </c>
      <c r="AT75" s="31">
        <f t="shared" si="69"/>
        <v>0</v>
      </c>
      <c r="AU75" s="31">
        <f t="shared" si="69"/>
        <v>0</v>
      </c>
      <c r="AW75" s="22">
        <f t="shared" si="50"/>
        <v>0</v>
      </c>
      <c r="AX75" s="22">
        <f t="shared" si="51"/>
        <v>0</v>
      </c>
      <c r="AY75" s="22">
        <f t="shared" si="52"/>
        <v>0</v>
      </c>
      <c r="AZ75" s="22">
        <f t="shared" si="53"/>
        <v>0</v>
      </c>
      <c r="BA75" s="22">
        <f t="shared" si="54"/>
        <v>0</v>
      </c>
      <c r="BB75" s="22">
        <f t="shared" si="55"/>
        <v>0</v>
      </c>
      <c r="BC75" s="22">
        <f t="shared" si="56"/>
        <v>0</v>
      </c>
      <c r="BD75" s="22">
        <f t="shared" si="57"/>
        <v>0</v>
      </c>
      <c r="BE75" s="22">
        <f t="shared" si="58"/>
        <v>0</v>
      </c>
      <c r="BF75" s="22">
        <f t="shared" si="59"/>
        <v>0</v>
      </c>
      <c r="BG75" s="22">
        <f t="shared" si="60"/>
        <v>0</v>
      </c>
      <c r="BH75" s="22">
        <f t="shared" si="61"/>
        <v>0</v>
      </c>
      <c r="BI75" s="22">
        <f t="shared" si="62"/>
        <v>0</v>
      </c>
      <c r="BJ75" s="22">
        <f t="shared" si="63"/>
        <v>0</v>
      </c>
      <c r="BK75" s="22">
        <f t="shared" si="64"/>
        <v>0</v>
      </c>
      <c r="BL75" s="22">
        <f t="shared" si="65"/>
        <v>0</v>
      </c>
      <c r="BM75" s="22" t="str">
        <f t="shared" si="66"/>
        <v>OK</v>
      </c>
    </row>
    <row r="76" spans="1:65">
      <c r="A76" s="29">
        <f>A75</f>
        <v>41102</v>
      </c>
      <c r="B76">
        <f>B75</f>
        <v>0</v>
      </c>
      <c r="C76" t="b">
        <f>VLOOKUP($B76,勤務形態オプション!$A$3:$D$10,C$6,FALSE)</f>
        <v>1</v>
      </c>
      <c r="D76" t="b">
        <f>VLOOKUP($B76,勤務形態オプション!$A$3:$D$10,D$6,FALSE)</f>
        <v>0</v>
      </c>
      <c r="E76" t="b">
        <f>VLOOKUP($B76,勤務形態オプション!$A$3:$D$10,E$6,FALSE)</f>
        <v>0</v>
      </c>
      <c r="F76" s="50">
        <f>F75</f>
        <v>0</v>
      </c>
      <c r="G76" s="50">
        <f>G75</f>
        <v>0</v>
      </c>
      <c r="H76" s="50">
        <f>H75</f>
        <v>0</v>
      </c>
      <c r="I76" s="50">
        <f>I75</f>
        <v>0</v>
      </c>
      <c r="J76" s="58">
        <v>2</v>
      </c>
      <c r="K76" s="50">
        <f>IF(命令簿!D77&lt;&gt;"",命令簿!D77,0)</f>
        <v>0</v>
      </c>
      <c r="L76" s="50">
        <f>IF(命令簿!G77&lt;&gt;"",命令簿!G77,IF(命令簿!F77&lt;&gt;"",命令簿!F77,0))</f>
        <v>0</v>
      </c>
      <c r="M76" s="50">
        <f>IF(命令簿!I77&lt;&gt;"",命令簿!I77,$L76)</f>
        <v>0</v>
      </c>
      <c r="N76" s="50">
        <f>IF(命令簿!I77&lt;&gt;"",命令簿!F77,L76)</f>
        <v>0</v>
      </c>
      <c r="O76" s="50">
        <f t="shared" si="76"/>
        <v>0</v>
      </c>
      <c r="P76" s="355"/>
      <c r="R76" s="31">
        <f t="shared" si="70"/>
        <v>0</v>
      </c>
      <c r="S76" s="31">
        <f t="shared" si="71"/>
        <v>0</v>
      </c>
      <c r="T76" s="31">
        <f t="shared" si="72"/>
        <v>0</v>
      </c>
      <c r="U76" s="31">
        <f t="shared" si="73"/>
        <v>0</v>
      </c>
      <c r="V76" s="31">
        <f t="shared" si="74"/>
        <v>0</v>
      </c>
      <c r="W76" s="31">
        <f t="shared" si="77"/>
        <v>0</v>
      </c>
      <c r="X76" s="31">
        <f t="shared" si="47"/>
        <v>0</v>
      </c>
      <c r="Y76" s="31">
        <f t="shared" si="68"/>
        <v>0</v>
      </c>
      <c r="Z76" s="31">
        <f t="shared" si="68"/>
        <v>0</v>
      </c>
      <c r="AA76" s="31">
        <f t="shared" si="68"/>
        <v>0</v>
      </c>
      <c r="AB76" s="31">
        <f t="shared" si="68"/>
        <v>0</v>
      </c>
      <c r="AC76" s="31">
        <f t="shared" si="46"/>
        <v>0</v>
      </c>
      <c r="AD76" s="31">
        <f t="shared" si="75"/>
        <v>0</v>
      </c>
      <c r="AE76" s="31">
        <f t="shared" si="48"/>
        <v>0</v>
      </c>
      <c r="AF76" s="31">
        <f t="shared" si="49"/>
        <v>0</v>
      </c>
      <c r="AG76" s="31">
        <f t="shared" si="69"/>
        <v>0</v>
      </c>
      <c r="AH76" s="31">
        <f t="shared" si="69"/>
        <v>0</v>
      </c>
      <c r="AI76" s="31">
        <f t="shared" si="69"/>
        <v>0</v>
      </c>
      <c r="AJ76" s="31">
        <f t="shared" si="69"/>
        <v>0</v>
      </c>
      <c r="AK76" s="31">
        <f t="shared" si="69"/>
        <v>0</v>
      </c>
      <c r="AL76" s="31">
        <f t="shared" si="69"/>
        <v>0</v>
      </c>
      <c r="AM76" s="31">
        <f t="shared" si="69"/>
        <v>0</v>
      </c>
      <c r="AN76" s="31">
        <f t="shared" si="69"/>
        <v>0</v>
      </c>
      <c r="AO76" s="31">
        <f t="shared" si="69"/>
        <v>0</v>
      </c>
      <c r="AP76" s="31">
        <f t="shared" si="69"/>
        <v>0</v>
      </c>
      <c r="AQ76" s="31">
        <f t="shared" si="69"/>
        <v>0</v>
      </c>
      <c r="AR76" s="31">
        <f t="shared" si="69"/>
        <v>0</v>
      </c>
      <c r="AS76" s="31">
        <f t="shared" si="69"/>
        <v>0</v>
      </c>
      <c r="AT76" s="31">
        <f t="shared" si="69"/>
        <v>0</v>
      </c>
      <c r="AU76" s="31">
        <f t="shared" si="69"/>
        <v>0</v>
      </c>
      <c r="AW76" s="22">
        <f t="shared" si="50"/>
        <v>0</v>
      </c>
      <c r="AX76" s="22">
        <f t="shared" si="51"/>
        <v>0</v>
      </c>
      <c r="AY76" s="22">
        <f t="shared" si="52"/>
        <v>0</v>
      </c>
      <c r="AZ76" s="22">
        <f t="shared" si="53"/>
        <v>0</v>
      </c>
      <c r="BA76" s="22">
        <f t="shared" si="54"/>
        <v>0</v>
      </c>
      <c r="BB76" s="22">
        <f t="shared" si="55"/>
        <v>0</v>
      </c>
      <c r="BC76" s="22">
        <f t="shared" si="56"/>
        <v>0</v>
      </c>
      <c r="BD76" s="22">
        <f t="shared" si="57"/>
        <v>0</v>
      </c>
      <c r="BE76" s="22">
        <f t="shared" si="58"/>
        <v>0</v>
      </c>
      <c r="BF76" s="22">
        <f t="shared" si="59"/>
        <v>0</v>
      </c>
      <c r="BG76" s="22">
        <f t="shared" si="60"/>
        <v>0</v>
      </c>
      <c r="BH76" s="22">
        <f t="shared" si="61"/>
        <v>0</v>
      </c>
      <c r="BI76" s="22">
        <f t="shared" si="62"/>
        <v>0</v>
      </c>
      <c r="BJ76" s="22">
        <f t="shared" si="63"/>
        <v>0</v>
      </c>
      <c r="BK76" s="22">
        <f t="shared" si="64"/>
        <v>0</v>
      </c>
      <c r="BL76" s="22">
        <f t="shared" si="65"/>
        <v>0</v>
      </c>
      <c r="BM76" s="22" t="str">
        <f t="shared" si="66"/>
        <v>OK</v>
      </c>
    </row>
    <row r="77" spans="1:65">
      <c r="A77" s="29">
        <f>A76</f>
        <v>41102</v>
      </c>
      <c r="B77">
        <f>B76</f>
        <v>0</v>
      </c>
      <c r="C77" t="b">
        <f>VLOOKUP($B77,勤務形態オプション!$A$3:$D$10,C$6,FALSE)</f>
        <v>1</v>
      </c>
      <c r="D77" t="b">
        <f>VLOOKUP($B77,勤務形態オプション!$A$3:$D$10,D$6,FALSE)</f>
        <v>0</v>
      </c>
      <c r="E77" t="b">
        <f>VLOOKUP($B77,勤務形態オプション!$A$3:$D$10,E$6,FALSE)</f>
        <v>0</v>
      </c>
      <c r="F77" s="50">
        <f>F75</f>
        <v>0</v>
      </c>
      <c r="G77" s="50">
        <f>G75</f>
        <v>0</v>
      </c>
      <c r="H77" s="50">
        <f>H75</f>
        <v>0</v>
      </c>
      <c r="I77" s="50">
        <f>I75</f>
        <v>0</v>
      </c>
      <c r="J77" s="58">
        <v>3</v>
      </c>
      <c r="K77" s="50">
        <f>IF(命令簿!D78&lt;&gt;"",命令簿!D78,0)</f>
        <v>0</v>
      </c>
      <c r="L77" s="50">
        <f>IF(命令簿!G78&lt;&gt;"",命令簿!G78,IF(命令簿!F78&lt;&gt;"",命令簿!F78,0))</f>
        <v>0</v>
      </c>
      <c r="M77" s="50">
        <f>IF(命令簿!I78&lt;&gt;"",命令簿!I78,$L77)</f>
        <v>0</v>
      </c>
      <c r="N77" s="50">
        <f>IF(命令簿!I78&lt;&gt;"",命令簿!F78,L77)</f>
        <v>0</v>
      </c>
      <c r="O77" s="50">
        <f t="shared" si="76"/>
        <v>0</v>
      </c>
      <c r="P77" s="355"/>
      <c r="R77" s="31">
        <f t="shared" si="70"/>
        <v>0</v>
      </c>
      <c r="S77" s="31">
        <f t="shared" si="71"/>
        <v>0</v>
      </c>
      <c r="T77" s="31">
        <f t="shared" si="72"/>
        <v>0</v>
      </c>
      <c r="U77" s="31">
        <f t="shared" si="73"/>
        <v>0</v>
      </c>
      <c r="V77" s="31">
        <f t="shared" si="74"/>
        <v>0</v>
      </c>
      <c r="W77" s="31">
        <f t="shared" si="77"/>
        <v>0</v>
      </c>
      <c r="X77" s="31">
        <f t="shared" si="47"/>
        <v>0</v>
      </c>
      <c r="Y77" s="31">
        <f t="shared" si="68"/>
        <v>0</v>
      </c>
      <c r="Z77" s="31">
        <f t="shared" si="68"/>
        <v>0</v>
      </c>
      <c r="AA77" s="31">
        <f t="shared" si="68"/>
        <v>0</v>
      </c>
      <c r="AB77" s="31">
        <f t="shared" si="68"/>
        <v>0</v>
      </c>
      <c r="AC77" s="31">
        <f t="shared" si="46"/>
        <v>0</v>
      </c>
      <c r="AD77" s="31">
        <f t="shared" si="75"/>
        <v>0</v>
      </c>
      <c r="AE77" s="31">
        <f t="shared" si="48"/>
        <v>0</v>
      </c>
      <c r="AF77" s="31">
        <f t="shared" si="49"/>
        <v>0</v>
      </c>
      <c r="AG77" s="31">
        <f t="shared" si="69"/>
        <v>0</v>
      </c>
      <c r="AH77" s="31">
        <f t="shared" si="69"/>
        <v>0</v>
      </c>
      <c r="AI77" s="31">
        <f t="shared" si="69"/>
        <v>0</v>
      </c>
      <c r="AJ77" s="31">
        <f t="shared" si="69"/>
        <v>0</v>
      </c>
      <c r="AK77" s="31">
        <f t="shared" si="69"/>
        <v>0</v>
      </c>
      <c r="AL77" s="31">
        <f t="shared" si="69"/>
        <v>0</v>
      </c>
      <c r="AM77" s="31">
        <f t="shared" si="69"/>
        <v>0</v>
      </c>
      <c r="AN77" s="31">
        <f t="shared" si="69"/>
        <v>0</v>
      </c>
      <c r="AO77" s="31">
        <f t="shared" si="69"/>
        <v>0</v>
      </c>
      <c r="AP77" s="31">
        <f t="shared" si="69"/>
        <v>0</v>
      </c>
      <c r="AQ77" s="31">
        <f t="shared" si="69"/>
        <v>0</v>
      </c>
      <c r="AR77" s="31">
        <f t="shared" si="69"/>
        <v>0</v>
      </c>
      <c r="AS77" s="31">
        <f t="shared" si="69"/>
        <v>0</v>
      </c>
      <c r="AT77" s="31">
        <f t="shared" si="69"/>
        <v>0</v>
      </c>
      <c r="AU77" s="31">
        <f t="shared" si="69"/>
        <v>0</v>
      </c>
      <c r="AW77" s="22">
        <f t="shared" si="50"/>
        <v>0</v>
      </c>
      <c r="AX77" s="22">
        <f t="shared" si="51"/>
        <v>0</v>
      </c>
      <c r="AY77" s="22">
        <f t="shared" si="52"/>
        <v>0</v>
      </c>
      <c r="AZ77" s="22">
        <f t="shared" si="53"/>
        <v>0</v>
      </c>
      <c r="BA77" s="22">
        <f t="shared" si="54"/>
        <v>0</v>
      </c>
      <c r="BB77" s="22">
        <f t="shared" si="55"/>
        <v>0</v>
      </c>
      <c r="BC77" s="22">
        <f t="shared" si="56"/>
        <v>0</v>
      </c>
      <c r="BD77" s="22">
        <f t="shared" si="57"/>
        <v>0</v>
      </c>
      <c r="BE77" s="22">
        <f t="shared" si="58"/>
        <v>0</v>
      </c>
      <c r="BF77" s="22">
        <f t="shared" si="59"/>
        <v>0</v>
      </c>
      <c r="BG77" s="22">
        <f t="shared" si="60"/>
        <v>0</v>
      </c>
      <c r="BH77" s="22">
        <f t="shared" si="61"/>
        <v>0</v>
      </c>
      <c r="BI77" s="22">
        <f t="shared" si="62"/>
        <v>0</v>
      </c>
      <c r="BJ77" s="22">
        <f t="shared" si="63"/>
        <v>0</v>
      </c>
      <c r="BK77" s="22">
        <f t="shared" si="64"/>
        <v>0</v>
      </c>
      <c r="BL77" s="22">
        <f t="shared" si="65"/>
        <v>0</v>
      </c>
      <c r="BM77" s="22" t="str">
        <f t="shared" si="66"/>
        <v>OK</v>
      </c>
    </row>
    <row r="78" spans="1:65">
      <c r="A78" s="29">
        <f>補助簿!B78</f>
        <v>41103</v>
      </c>
      <c r="B78" s="150">
        <f>命令簿!C81</f>
        <v>0</v>
      </c>
      <c r="C78" t="b">
        <f>VLOOKUP($B78,勤務形態オプション!$A$3:$D$10,C$6,FALSE)</f>
        <v>1</v>
      </c>
      <c r="D78" t="b">
        <f>VLOOKUP($B78,勤務形態オプション!$A$3:$D$10,D$6,FALSE)</f>
        <v>0</v>
      </c>
      <c r="E78" t="b">
        <f>VLOOKUP($B78,勤務形態オプション!$A$3:$D$10,E$6,FALSE)</f>
        <v>0</v>
      </c>
      <c r="F78" s="50">
        <f>補助簿!$E78</f>
        <v>0</v>
      </c>
      <c r="G78" s="50">
        <f>補助簿!$F78</f>
        <v>0</v>
      </c>
      <c r="H78" s="50">
        <f>補助簿!$C78</f>
        <v>0</v>
      </c>
      <c r="I78" s="50">
        <f>補助簿!$D78</f>
        <v>0</v>
      </c>
      <c r="J78" s="58">
        <v>1</v>
      </c>
      <c r="K78" s="50">
        <f>IF(命令簿!D79&lt;&gt;"",命令簿!D79,0)</f>
        <v>0</v>
      </c>
      <c r="L78" s="50">
        <f>IF(命令簿!G79&lt;&gt;"",命令簿!G79,IF(命令簿!F79&lt;&gt;"",命令簿!F79,0))</f>
        <v>0</v>
      </c>
      <c r="M78" s="50">
        <f>IF(命令簿!I79&lt;&gt;"",命令簿!I79,$L78)</f>
        <v>0</v>
      </c>
      <c r="N78" s="50">
        <f>IF(命令簿!I79&lt;&gt;"",命令簿!F79,L78)</f>
        <v>0</v>
      </c>
      <c r="O78" s="50">
        <f t="shared" si="76"/>
        <v>0</v>
      </c>
      <c r="P78" s="355">
        <f>SUM(O78:O80)</f>
        <v>0</v>
      </c>
      <c r="R78" s="31">
        <f t="shared" si="70"/>
        <v>0</v>
      </c>
      <c r="S78" s="31">
        <f t="shared" si="71"/>
        <v>0</v>
      </c>
      <c r="T78" s="31">
        <f t="shared" si="72"/>
        <v>0</v>
      </c>
      <c r="U78" s="31">
        <f t="shared" si="73"/>
        <v>0</v>
      </c>
      <c r="V78" s="31">
        <f t="shared" si="74"/>
        <v>0</v>
      </c>
      <c r="W78" s="31">
        <f t="shared" si="77"/>
        <v>0</v>
      </c>
      <c r="X78" s="31">
        <f t="shared" si="47"/>
        <v>0</v>
      </c>
      <c r="Y78" s="31">
        <f t="shared" si="68"/>
        <v>0</v>
      </c>
      <c r="Z78" s="31">
        <f t="shared" si="68"/>
        <v>0</v>
      </c>
      <c r="AA78" s="31">
        <f t="shared" si="68"/>
        <v>0</v>
      </c>
      <c r="AB78" s="31">
        <f t="shared" si="68"/>
        <v>0</v>
      </c>
      <c r="AC78" s="31">
        <f t="shared" si="46"/>
        <v>0</v>
      </c>
      <c r="AD78" s="31">
        <f t="shared" si="75"/>
        <v>0</v>
      </c>
      <c r="AE78" s="31">
        <f t="shared" si="48"/>
        <v>0</v>
      </c>
      <c r="AF78" s="31">
        <f t="shared" si="49"/>
        <v>0</v>
      </c>
      <c r="AG78" s="31">
        <f t="shared" si="69"/>
        <v>0</v>
      </c>
      <c r="AH78" s="31">
        <f t="shared" si="69"/>
        <v>0</v>
      </c>
      <c r="AI78" s="31">
        <f t="shared" si="69"/>
        <v>0</v>
      </c>
      <c r="AJ78" s="31">
        <f t="shared" si="69"/>
        <v>0</v>
      </c>
      <c r="AK78" s="31">
        <f t="shared" si="69"/>
        <v>0</v>
      </c>
      <c r="AL78" s="31">
        <f t="shared" si="69"/>
        <v>0</v>
      </c>
      <c r="AM78" s="31">
        <f t="shared" si="69"/>
        <v>0</v>
      </c>
      <c r="AN78" s="31">
        <f t="shared" si="69"/>
        <v>0</v>
      </c>
      <c r="AO78" s="31">
        <f t="shared" si="69"/>
        <v>0</v>
      </c>
      <c r="AP78" s="31">
        <f t="shared" si="69"/>
        <v>0</v>
      </c>
      <c r="AQ78" s="31">
        <f t="shared" si="69"/>
        <v>0</v>
      </c>
      <c r="AR78" s="31">
        <f t="shared" si="69"/>
        <v>0</v>
      </c>
      <c r="AS78" s="31">
        <f t="shared" si="69"/>
        <v>0</v>
      </c>
      <c r="AT78" s="31">
        <f t="shared" si="69"/>
        <v>0</v>
      </c>
      <c r="AU78" s="31">
        <f t="shared" si="69"/>
        <v>0</v>
      </c>
      <c r="AW78" s="22">
        <f t="shared" si="50"/>
        <v>0</v>
      </c>
      <c r="AX78" s="22">
        <f t="shared" si="51"/>
        <v>0</v>
      </c>
      <c r="AY78" s="22">
        <f t="shared" si="52"/>
        <v>0</v>
      </c>
      <c r="AZ78" s="22">
        <f t="shared" si="53"/>
        <v>0</v>
      </c>
      <c r="BA78" s="22">
        <f t="shared" si="54"/>
        <v>0</v>
      </c>
      <c r="BB78" s="22">
        <f t="shared" si="55"/>
        <v>0</v>
      </c>
      <c r="BC78" s="22">
        <f t="shared" si="56"/>
        <v>0</v>
      </c>
      <c r="BD78" s="22">
        <f t="shared" si="57"/>
        <v>0</v>
      </c>
      <c r="BE78" s="22">
        <f t="shared" si="58"/>
        <v>0</v>
      </c>
      <c r="BF78" s="22">
        <f t="shared" si="59"/>
        <v>0</v>
      </c>
      <c r="BG78" s="22">
        <f t="shared" si="60"/>
        <v>0</v>
      </c>
      <c r="BH78" s="22">
        <f t="shared" si="61"/>
        <v>0</v>
      </c>
      <c r="BI78" s="22">
        <f t="shared" si="62"/>
        <v>0</v>
      </c>
      <c r="BJ78" s="22">
        <f t="shared" si="63"/>
        <v>0</v>
      </c>
      <c r="BK78" s="22">
        <f t="shared" si="64"/>
        <v>0</v>
      </c>
      <c r="BL78" s="22">
        <f t="shared" si="65"/>
        <v>0</v>
      </c>
      <c r="BM78" s="22" t="str">
        <f t="shared" si="66"/>
        <v>OK</v>
      </c>
    </row>
    <row r="79" spans="1:65">
      <c r="A79" s="29">
        <f>A78</f>
        <v>41103</v>
      </c>
      <c r="B79">
        <f>B78</f>
        <v>0</v>
      </c>
      <c r="C79" t="b">
        <f>VLOOKUP($B79,勤務形態オプション!$A$3:$D$10,C$6,FALSE)</f>
        <v>1</v>
      </c>
      <c r="D79" t="b">
        <f>VLOOKUP($B79,勤務形態オプション!$A$3:$D$10,D$6,FALSE)</f>
        <v>0</v>
      </c>
      <c r="E79" t="b">
        <f>VLOOKUP($B79,勤務形態オプション!$A$3:$D$10,E$6,FALSE)</f>
        <v>0</v>
      </c>
      <c r="F79" s="50">
        <f>F78</f>
        <v>0</v>
      </c>
      <c r="G79" s="50">
        <f>G78</f>
        <v>0</v>
      </c>
      <c r="H79" s="50">
        <f>H78</f>
        <v>0</v>
      </c>
      <c r="I79" s="50">
        <f>I78</f>
        <v>0</v>
      </c>
      <c r="J79" s="58">
        <v>2</v>
      </c>
      <c r="K79" s="50">
        <f>IF(命令簿!D80&lt;&gt;"",命令簿!D80,0)</f>
        <v>0</v>
      </c>
      <c r="L79" s="50">
        <f>IF(命令簿!G80&lt;&gt;"",命令簿!G80,IF(命令簿!F80&lt;&gt;"",命令簿!F80,0))</f>
        <v>0</v>
      </c>
      <c r="M79" s="50">
        <f>IF(命令簿!I80&lt;&gt;"",命令簿!I80,$L79)</f>
        <v>0</v>
      </c>
      <c r="N79" s="50">
        <f>IF(命令簿!I80&lt;&gt;"",命令簿!F80,L79)</f>
        <v>0</v>
      </c>
      <c r="O79" s="50">
        <f t="shared" si="76"/>
        <v>0</v>
      </c>
      <c r="P79" s="355"/>
      <c r="R79" s="31">
        <f t="shared" si="70"/>
        <v>0</v>
      </c>
      <c r="S79" s="31">
        <f t="shared" si="71"/>
        <v>0</v>
      </c>
      <c r="T79" s="31">
        <f t="shared" si="72"/>
        <v>0</v>
      </c>
      <c r="U79" s="31">
        <f t="shared" si="73"/>
        <v>0</v>
      </c>
      <c r="V79" s="31">
        <f t="shared" si="74"/>
        <v>0</v>
      </c>
      <c r="W79" s="31">
        <f t="shared" si="77"/>
        <v>0</v>
      </c>
      <c r="X79" s="31">
        <f t="shared" si="47"/>
        <v>0</v>
      </c>
      <c r="Y79" s="31">
        <f t="shared" si="68"/>
        <v>0</v>
      </c>
      <c r="Z79" s="31">
        <f t="shared" si="68"/>
        <v>0</v>
      </c>
      <c r="AA79" s="31">
        <f t="shared" si="68"/>
        <v>0</v>
      </c>
      <c r="AB79" s="31">
        <f t="shared" si="68"/>
        <v>0</v>
      </c>
      <c r="AC79" s="31">
        <f t="shared" si="46"/>
        <v>0</v>
      </c>
      <c r="AD79" s="31">
        <f t="shared" si="75"/>
        <v>0</v>
      </c>
      <c r="AE79" s="31">
        <f t="shared" si="48"/>
        <v>0</v>
      </c>
      <c r="AF79" s="31">
        <f t="shared" si="49"/>
        <v>0</v>
      </c>
      <c r="AG79" s="31">
        <f t="shared" ref="AG79:AU88" si="78">AllocateWorkTime($C79:$I79,$Y79:$AF79,AG$6)</f>
        <v>0</v>
      </c>
      <c r="AH79" s="31">
        <f t="shared" si="78"/>
        <v>0</v>
      </c>
      <c r="AI79" s="31">
        <f t="shared" si="78"/>
        <v>0</v>
      </c>
      <c r="AJ79" s="31">
        <f t="shared" si="78"/>
        <v>0</v>
      </c>
      <c r="AK79" s="31">
        <f t="shared" si="78"/>
        <v>0</v>
      </c>
      <c r="AL79" s="31">
        <f t="shared" si="78"/>
        <v>0</v>
      </c>
      <c r="AM79" s="31">
        <f t="shared" si="78"/>
        <v>0</v>
      </c>
      <c r="AN79" s="31">
        <f t="shared" si="78"/>
        <v>0</v>
      </c>
      <c r="AO79" s="31">
        <f t="shared" si="78"/>
        <v>0</v>
      </c>
      <c r="AP79" s="31">
        <f t="shared" si="78"/>
        <v>0</v>
      </c>
      <c r="AQ79" s="31">
        <f t="shared" si="78"/>
        <v>0</v>
      </c>
      <c r="AR79" s="31">
        <f t="shared" si="78"/>
        <v>0</v>
      </c>
      <c r="AS79" s="31">
        <f t="shared" si="78"/>
        <v>0</v>
      </c>
      <c r="AT79" s="31">
        <f t="shared" si="78"/>
        <v>0</v>
      </c>
      <c r="AU79" s="31">
        <f t="shared" si="78"/>
        <v>0</v>
      </c>
      <c r="AW79" s="22">
        <f t="shared" si="50"/>
        <v>0</v>
      </c>
      <c r="AX79" s="22">
        <f t="shared" si="51"/>
        <v>0</v>
      </c>
      <c r="AY79" s="22">
        <f t="shared" si="52"/>
        <v>0</v>
      </c>
      <c r="AZ79" s="22">
        <f t="shared" si="53"/>
        <v>0</v>
      </c>
      <c r="BA79" s="22">
        <f t="shared" si="54"/>
        <v>0</v>
      </c>
      <c r="BB79" s="22">
        <f t="shared" si="55"/>
        <v>0</v>
      </c>
      <c r="BC79" s="22">
        <f t="shared" si="56"/>
        <v>0</v>
      </c>
      <c r="BD79" s="22">
        <f t="shared" si="57"/>
        <v>0</v>
      </c>
      <c r="BE79" s="22">
        <f t="shared" si="58"/>
        <v>0</v>
      </c>
      <c r="BF79" s="22">
        <f t="shared" si="59"/>
        <v>0</v>
      </c>
      <c r="BG79" s="22">
        <f t="shared" si="60"/>
        <v>0</v>
      </c>
      <c r="BH79" s="22">
        <f t="shared" si="61"/>
        <v>0</v>
      </c>
      <c r="BI79" s="22">
        <f t="shared" si="62"/>
        <v>0</v>
      </c>
      <c r="BJ79" s="22">
        <f t="shared" si="63"/>
        <v>0</v>
      </c>
      <c r="BK79" s="22">
        <f t="shared" si="64"/>
        <v>0</v>
      </c>
      <c r="BL79" s="22">
        <f t="shared" si="65"/>
        <v>0</v>
      </c>
      <c r="BM79" s="22" t="str">
        <f t="shared" si="66"/>
        <v>OK</v>
      </c>
    </row>
    <row r="80" spans="1:65">
      <c r="A80" s="29">
        <f>A79</f>
        <v>41103</v>
      </c>
      <c r="B80">
        <f>B79</f>
        <v>0</v>
      </c>
      <c r="C80" t="b">
        <f>VLOOKUP($B80,勤務形態オプション!$A$3:$D$10,C$6,FALSE)</f>
        <v>1</v>
      </c>
      <c r="D80" t="b">
        <f>VLOOKUP($B80,勤務形態オプション!$A$3:$D$10,D$6,FALSE)</f>
        <v>0</v>
      </c>
      <c r="E80" t="b">
        <f>VLOOKUP($B80,勤務形態オプション!$A$3:$D$10,E$6,FALSE)</f>
        <v>0</v>
      </c>
      <c r="F80" s="50">
        <f>F78</f>
        <v>0</v>
      </c>
      <c r="G80" s="50">
        <f>G78</f>
        <v>0</v>
      </c>
      <c r="H80" s="50">
        <f>H78</f>
        <v>0</v>
      </c>
      <c r="I80" s="50">
        <f>I78</f>
        <v>0</v>
      </c>
      <c r="J80" s="58">
        <v>3</v>
      </c>
      <c r="K80" s="50">
        <f>IF(命令簿!D81&lt;&gt;"",命令簿!D81,0)</f>
        <v>0</v>
      </c>
      <c r="L80" s="50">
        <f>IF(命令簿!G81&lt;&gt;"",命令簿!G81,IF(命令簿!F81&lt;&gt;"",命令簿!F81,0))</f>
        <v>0</v>
      </c>
      <c r="M80" s="50">
        <f>IF(命令簿!I81&lt;&gt;"",命令簿!I81,$L80)</f>
        <v>0</v>
      </c>
      <c r="N80" s="50">
        <f>IF(命令簿!I81&lt;&gt;"",命令簿!F81,L80)</f>
        <v>0</v>
      </c>
      <c r="O80" s="50">
        <f t="shared" si="76"/>
        <v>0</v>
      </c>
      <c r="P80" s="355"/>
      <c r="R80" s="31">
        <f t="shared" si="70"/>
        <v>0</v>
      </c>
      <c r="S80" s="31">
        <f t="shared" si="71"/>
        <v>0</v>
      </c>
      <c r="T80" s="31">
        <f t="shared" si="72"/>
        <v>0</v>
      </c>
      <c r="U80" s="31">
        <f t="shared" si="73"/>
        <v>0</v>
      </c>
      <c r="V80" s="31">
        <f t="shared" si="74"/>
        <v>0</v>
      </c>
      <c r="W80" s="31">
        <f t="shared" si="77"/>
        <v>0</v>
      </c>
      <c r="X80" s="31">
        <f t="shared" si="47"/>
        <v>0</v>
      </c>
      <c r="Y80" s="31">
        <f t="shared" si="68"/>
        <v>0</v>
      </c>
      <c r="Z80" s="31">
        <f t="shared" si="68"/>
        <v>0</v>
      </c>
      <c r="AA80" s="31">
        <f t="shared" si="68"/>
        <v>0</v>
      </c>
      <c r="AB80" s="31">
        <f t="shared" si="68"/>
        <v>0</v>
      </c>
      <c r="AC80" s="31">
        <f t="shared" si="46"/>
        <v>0</v>
      </c>
      <c r="AD80" s="31">
        <f t="shared" si="75"/>
        <v>0</v>
      </c>
      <c r="AE80" s="31">
        <f t="shared" si="48"/>
        <v>0</v>
      </c>
      <c r="AF80" s="31">
        <f t="shared" si="49"/>
        <v>0</v>
      </c>
      <c r="AG80" s="31">
        <f t="shared" si="78"/>
        <v>0</v>
      </c>
      <c r="AH80" s="31">
        <f t="shared" si="78"/>
        <v>0</v>
      </c>
      <c r="AI80" s="31">
        <f t="shared" si="78"/>
        <v>0</v>
      </c>
      <c r="AJ80" s="31">
        <f t="shared" si="78"/>
        <v>0</v>
      </c>
      <c r="AK80" s="31">
        <f t="shared" si="78"/>
        <v>0</v>
      </c>
      <c r="AL80" s="31">
        <f t="shared" si="78"/>
        <v>0</v>
      </c>
      <c r="AM80" s="31">
        <f t="shared" si="78"/>
        <v>0</v>
      </c>
      <c r="AN80" s="31">
        <f t="shared" si="78"/>
        <v>0</v>
      </c>
      <c r="AO80" s="31">
        <f t="shared" si="78"/>
        <v>0</v>
      </c>
      <c r="AP80" s="31">
        <f t="shared" si="78"/>
        <v>0</v>
      </c>
      <c r="AQ80" s="31">
        <f t="shared" si="78"/>
        <v>0</v>
      </c>
      <c r="AR80" s="31">
        <f t="shared" si="78"/>
        <v>0</v>
      </c>
      <c r="AS80" s="31">
        <f t="shared" si="78"/>
        <v>0</v>
      </c>
      <c r="AT80" s="31">
        <f t="shared" si="78"/>
        <v>0</v>
      </c>
      <c r="AU80" s="31">
        <f t="shared" si="78"/>
        <v>0</v>
      </c>
      <c r="AW80" s="22">
        <f t="shared" si="50"/>
        <v>0</v>
      </c>
      <c r="AX80" s="22">
        <f t="shared" si="51"/>
        <v>0</v>
      </c>
      <c r="AY80" s="22">
        <f t="shared" si="52"/>
        <v>0</v>
      </c>
      <c r="AZ80" s="22">
        <f t="shared" si="53"/>
        <v>0</v>
      </c>
      <c r="BA80" s="22">
        <f t="shared" si="54"/>
        <v>0</v>
      </c>
      <c r="BB80" s="22">
        <f t="shared" si="55"/>
        <v>0</v>
      </c>
      <c r="BC80" s="22">
        <f t="shared" si="56"/>
        <v>0</v>
      </c>
      <c r="BD80" s="22">
        <f t="shared" si="57"/>
        <v>0</v>
      </c>
      <c r="BE80" s="22">
        <f t="shared" si="58"/>
        <v>0</v>
      </c>
      <c r="BF80" s="22">
        <f t="shared" si="59"/>
        <v>0</v>
      </c>
      <c r="BG80" s="22">
        <f t="shared" si="60"/>
        <v>0</v>
      </c>
      <c r="BH80" s="22">
        <f t="shared" si="61"/>
        <v>0</v>
      </c>
      <c r="BI80" s="22">
        <f t="shared" si="62"/>
        <v>0</v>
      </c>
      <c r="BJ80" s="22">
        <f t="shared" si="63"/>
        <v>0</v>
      </c>
      <c r="BK80" s="22">
        <f t="shared" si="64"/>
        <v>0</v>
      </c>
      <c r="BL80" s="22">
        <f t="shared" si="65"/>
        <v>0</v>
      </c>
      <c r="BM80" s="22" t="str">
        <f t="shared" si="66"/>
        <v>OK</v>
      </c>
    </row>
    <row r="81" spans="1:65">
      <c r="A81" s="29">
        <f>補助簿!B81</f>
        <v>41104</v>
      </c>
      <c r="B81" s="151">
        <f>命令簿!C84</f>
        <v>0</v>
      </c>
      <c r="C81" t="b">
        <f>VLOOKUP($B81,勤務形態オプション!$A$3:$D$10,C$6,FALSE)</f>
        <v>1</v>
      </c>
      <c r="D81" t="b">
        <f>VLOOKUP($B81,勤務形態オプション!$A$3:$D$10,D$6,FALSE)</f>
        <v>0</v>
      </c>
      <c r="E81" t="b">
        <f>VLOOKUP($B81,勤務形態オプション!$A$3:$D$10,E$6,FALSE)</f>
        <v>0</v>
      </c>
      <c r="F81" s="50">
        <f>補助簿!$E81</f>
        <v>0</v>
      </c>
      <c r="G81" s="50">
        <f>補助簿!$F81</f>
        <v>0</v>
      </c>
      <c r="H81" s="50">
        <f>補助簿!$C81</f>
        <v>0</v>
      </c>
      <c r="I81" s="50">
        <f>補助簿!$D81</f>
        <v>0</v>
      </c>
      <c r="J81" s="58">
        <v>1</v>
      </c>
      <c r="K81" s="50">
        <f>IF(命令簿!D82&lt;&gt;"",命令簿!D82,0)</f>
        <v>0</v>
      </c>
      <c r="L81" s="50">
        <f>IF(命令簿!G82&lt;&gt;"",命令簿!G82,IF(命令簿!F82&lt;&gt;"",命令簿!F82,0))</f>
        <v>0</v>
      </c>
      <c r="M81" s="50">
        <f>IF(命令簿!I82&lt;&gt;"",命令簿!I82,$L81)</f>
        <v>0</v>
      </c>
      <c r="N81" s="50">
        <f>IF(命令簿!I82&lt;&gt;"",命令簿!F82,L81)</f>
        <v>0</v>
      </c>
      <c r="O81" s="50">
        <f t="shared" si="76"/>
        <v>0</v>
      </c>
      <c r="P81" s="355">
        <f>SUM(O81:O83)</f>
        <v>0</v>
      </c>
      <c r="R81" s="31">
        <f t="shared" si="70"/>
        <v>0</v>
      </c>
      <c r="S81" s="31">
        <f t="shared" si="71"/>
        <v>0</v>
      </c>
      <c r="T81" s="31">
        <f t="shared" si="72"/>
        <v>0</v>
      </c>
      <c r="U81" s="31">
        <f t="shared" si="73"/>
        <v>0</v>
      </c>
      <c r="V81" s="31">
        <f t="shared" si="74"/>
        <v>0</v>
      </c>
      <c r="W81" s="31">
        <f t="shared" si="77"/>
        <v>0</v>
      </c>
      <c r="X81" s="31">
        <f t="shared" si="47"/>
        <v>0</v>
      </c>
      <c r="Y81" s="31">
        <f t="shared" si="68"/>
        <v>0</v>
      </c>
      <c r="Z81" s="31">
        <f t="shared" si="68"/>
        <v>0</v>
      </c>
      <c r="AA81" s="31">
        <f t="shared" si="68"/>
        <v>0</v>
      </c>
      <c r="AB81" s="31">
        <f t="shared" si="68"/>
        <v>0</v>
      </c>
      <c r="AC81" s="31">
        <f t="shared" ref="AC81:AC101" si="79">R81-Y81</f>
        <v>0</v>
      </c>
      <c r="AD81" s="31">
        <f t="shared" si="75"/>
        <v>0</v>
      </c>
      <c r="AE81" s="31">
        <f t="shared" si="48"/>
        <v>0</v>
      </c>
      <c r="AF81" s="31">
        <f t="shared" si="49"/>
        <v>0</v>
      </c>
      <c r="AG81" s="31">
        <f t="shared" si="78"/>
        <v>0</v>
      </c>
      <c r="AH81" s="31">
        <f t="shared" si="78"/>
        <v>0</v>
      </c>
      <c r="AI81" s="31">
        <f t="shared" si="78"/>
        <v>0</v>
      </c>
      <c r="AJ81" s="31">
        <f t="shared" si="78"/>
        <v>0</v>
      </c>
      <c r="AK81" s="31">
        <f t="shared" si="78"/>
        <v>0</v>
      </c>
      <c r="AL81" s="31">
        <f t="shared" si="78"/>
        <v>0</v>
      </c>
      <c r="AM81" s="31">
        <f t="shared" si="78"/>
        <v>0</v>
      </c>
      <c r="AN81" s="31">
        <f t="shared" si="78"/>
        <v>0</v>
      </c>
      <c r="AO81" s="31">
        <f t="shared" si="78"/>
        <v>0</v>
      </c>
      <c r="AP81" s="31">
        <f t="shared" si="78"/>
        <v>0</v>
      </c>
      <c r="AQ81" s="31">
        <f t="shared" si="78"/>
        <v>0</v>
      </c>
      <c r="AR81" s="31">
        <f t="shared" si="78"/>
        <v>0</v>
      </c>
      <c r="AS81" s="31">
        <f t="shared" si="78"/>
        <v>0</v>
      </c>
      <c r="AT81" s="31">
        <f t="shared" si="78"/>
        <v>0</v>
      </c>
      <c r="AU81" s="31">
        <f t="shared" si="78"/>
        <v>0</v>
      </c>
      <c r="AW81" s="22">
        <f t="shared" si="50"/>
        <v>0</v>
      </c>
      <c r="AX81" s="22">
        <f t="shared" si="51"/>
        <v>0</v>
      </c>
      <c r="AY81" s="22">
        <f t="shared" si="52"/>
        <v>0</v>
      </c>
      <c r="AZ81" s="22">
        <f t="shared" si="53"/>
        <v>0</v>
      </c>
      <c r="BA81" s="22">
        <f t="shared" si="54"/>
        <v>0</v>
      </c>
      <c r="BB81" s="22">
        <f t="shared" si="55"/>
        <v>0</v>
      </c>
      <c r="BC81" s="22">
        <f t="shared" si="56"/>
        <v>0</v>
      </c>
      <c r="BD81" s="22">
        <f t="shared" si="57"/>
        <v>0</v>
      </c>
      <c r="BE81" s="22">
        <f t="shared" si="58"/>
        <v>0</v>
      </c>
      <c r="BF81" s="22">
        <f t="shared" si="59"/>
        <v>0</v>
      </c>
      <c r="BG81" s="22">
        <f t="shared" si="60"/>
        <v>0</v>
      </c>
      <c r="BH81" s="22">
        <f t="shared" si="61"/>
        <v>0</v>
      </c>
      <c r="BI81" s="22">
        <f t="shared" si="62"/>
        <v>0</v>
      </c>
      <c r="BJ81" s="22">
        <f t="shared" si="63"/>
        <v>0</v>
      </c>
      <c r="BK81" s="22">
        <f t="shared" si="64"/>
        <v>0</v>
      </c>
      <c r="BL81" s="22">
        <f t="shared" si="65"/>
        <v>0</v>
      </c>
      <c r="BM81" s="22" t="str">
        <f t="shared" si="66"/>
        <v>OK</v>
      </c>
    </row>
    <row r="82" spans="1:65">
      <c r="A82" s="29">
        <f>A81</f>
        <v>41104</v>
      </c>
      <c r="B82">
        <f>B81</f>
        <v>0</v>
      </c>
      <c r="C82" t="b">
        <f>VLOOKUP($B82,勤務形態オプション!$A$3:$D$10,C$6,FALSE)</f>
        <v>1</v>
      </c>
      <c r="D82" t="b">
        <f>VLOOKUP($B82,勤務形態オプション!$A$3:$D$10,D$6,FALSE)</f>
        <v>0</v>
      </c>
      <c r="E82" t="b">
        <f>VLOOKUP($B82,勤務形態オプション!$A$3:$D$10,E$6,FALSE)</f>
        <v>0</v>
      </c>
      <c r="F82" s="50">
        <f>F81</f>
        <v>0</v>
      </c>
      <c r="G82" s="50">
        <f>G81</f>
        <v>0</v>
      </c>
      <c r="H82" s="50">
        <f>H81</f>
        <v>0</v>
      </c>
      <c r="I82" s="50">
        <f>I81</f>
        <v>0</v>
      </c>
      <c r="J82" s="58">
        <v>2</v>
      </c>
      <c r="K82" s="50">
        <f>IF(命令簿!D83&lt;&gt;"",命令簿!D83,0)</f>
        <v>0</v>
      </c>
      <c r="L82" s="50">
        <f>IF(命令簿!G83&lt;&gt;"",命令簿!G83,IF(命令簿!F83&lt;&gt;"",命令簿!F83,0))</f>
        <v>0</v>
      </c>
      <c r="M82" s="50">
        <f>IF(命令簿!I83&lt;&gt;"",命令簿!I83,$L82)</f>
        <v>0</v>
      </c>
      <c r="N82" s="50">
        <f>IF(命令簿!I83&lt;&gt;"",命令簿!F83,L82)</f>
        <v>0</v>
      </c>
      <c r="O82" s="50">
        <f t="shared" si="76"/>
        <v>0</v>
      </c>
      <c r="P82" s="355"/>
      <c r="R82" s="31">
        <f t="shared" si="70"/>
        <v>0</v>
      </c>
      <c r="S82" s="31">
        <f t="shared" si="71"/>
        <v>0</v>
      </c>
      <c r="T82" s="31">
        <f t="shared" si="72"/>
        <v>0</v>
      </c>
      <c r="U82" s="31">
        <f t="shared" si="73"/>
        <v>0</v>
      </c>
      <c r="V82" s="31">
        <f t="shared" si="74"/>
        <v>0</v>
      </c>
      <c r="W82" s="31">
        <f t="shared" si="77"/>
        <v>0</v>
      </c>
      <c r="X82" s="31">
        <f t="shared" si="47"/>
        <v>0</v>
      </c>
      <c r="Y82" s="31">
        <f t="shared" si="68"/>
        <v>0</v>
      </c>
      <c r="Z82" s="31">
        <f t="shared" si="68"/>
        <v>0</v>
      </c>
      <c r="AA82" s="31">
        <f t="shared" si="68"/>
        <v>0</v>
      </c>
      <c r="AB82" s="31">
        <f t="shared" si="68"/>
        <v>0</v>
      </c>
      <c r="AC82" s="31">
        <f t="shared" si="79"/>
        <v>0</v>
      </c>
      <c r="AD82" s="31">
        <f t="shared" si="75"/>
        <v>0</v>
      </c>
      <c r="AE82" s="31">
        <f t="shared" si="48"/>
        <v>0</v>
      </c>
      <c r="AF82" s="31">
        <f t="shared" ref="AF82:AF101" si="80">U82-AB82</f>
        <v>0</v>
      </c>
      <c r="AG82" s="31">
        <f t="shared" si="78"/>
        <v>0</v>
      </c>
      <c r="AH82" s="31">
        <f t="shared" si="78"/>
        <v>0</v>
      </c>
      <c r="AI82" s="31">
        <f t="shared" si="78"/>
        <v>0</v>
      </c>
      <c r="AJ82" s="31">
        <f t="shared" si="78"/>
        <v>0</v>
      </c>
      <c r="AK82" s="31">
        <f t="shared" si="78"/>
        <v>0</v>
      </c>
      <c r="AL82" s="31">
        <f t="shared" si="78"/>
        <v>0</v>
      </c>
      <c r="AM82" s="31">
        <f t="shared" si="78"/>
        <v>0</v>
      </c>
      <c r="AN82" s="31">
        <f t="shared" si="78"/>
        <v>0</v>
      </c>
      <c r="AO82" s="31">
        <f t="shared" si="78"/>
        <v>0</v>
      </c>
      <c r="AP82" s="31">
        <f t="shared" si="78"/>
        <v>0</v>
      </c>
      <c r="AQ82" s="31">
        <f t="shared" si="78"/>
        <v>0</v>
      </c>
      <c r="AR82" s="31">
        <f t="shared" si="78"/>
        <v>0</v>
      </c>
      <c r="AS82" s="31">
        <f t="shared" si="78"/>
        <v>0</v>
      </c>
      <c r="AT82" s="31">
        <f t="shared" si="78"/>
        <v>0</v>
      </c>
      <c r="AU82" s="31">
        <f t="shared" si="78"/>
        <v>0</v>
      </c>
      <c r="AW82" s="22">
        <f t="shared" si="50"/>
        <v>0</v>
      </c>
      <c r="AX82" s="22">
        <f t="shared" si="51"/>
        <v>0</v>
      </c>
      <c r="AY82" s="22">
        <f t="shared" si="52"/>
        <v>0</v>
      </c>
      <c r="AZ82" s="22">
        <f t="shared" si="53"/>
        <v>0</v>
      </c>
      <c r="BA82" s="22">
        <f t="shared" si="54"/>
        <v>0</v>
      </c>
      <c r="BB82" s="22">
        <f t="shared" si="55"/>
        <v>0</v>
      </c>
      <c r="BC82" s="22">
        <f t="shared" si="56"/>
        <v>0</v>
      </c>
      <c r="BD82" s="22">
        <f t="shared" si="57"/>
        <v>0</v>
      </c>
      <c r="BE82" s="22">
        <f t="shared" si="58"/>
        <v>0</v>
      </c>
      <c r="BF82" s="22">
        <f t="shared" si="59"/>
        <v>0</v>
      </c>
      <c r="BG82" s="22">
        <f t="shared" si="60"/>
        <v>0</v>
      </c>
      <c r="BH82" s="22">
        <f t="shared" si="61"/>
        <v>0</v>
      </c>
      <c r="BI82" s="22">
        <f t="shared" si="62"/>
        <v>0</v>
      </c>
      <c r="BJ82" s="22">
        <f t="shared" si="63"/>
        <v>0</v>
      </c>
      <c r="BK82" s="22">
        <f t="shared" si="64"/>
        <v>0</v>
      </c>
      <c r="BL82" s="22">
        <f t="shared" si="65"/>
        <v>0</v>
      </c>
      <c r="BM82" s="22" t="str">
        <f t="shared" si="66"/>
        <v>OK</v>
      </c>
    </row>
    <row r="83" spans="1:65">
      <c r="A83" s="29">
        <f>A82</f>
        <v>41104</v>
      </c>
      <c r="B83">
        <f>B82</f>
        <v>0</v>
      </c>
      <c r="C83" t="b">
        <f>VLOOKUP($B83,勤務形態オプション!$A$3:$D$10,C$6,FALSE)</f>
        <v>1</v>
      </c>
      <c r="D83" t="b">
        <f>VLOOKUP($B83,勤務形態オプション!$A$3:$D$10,D$6,FALSE)</f>
        <v>0</v>
      </c>
      <c r="E83" t="b">
        <f>VLOOKUP($B83,勤務形態オプション!$A$3:$D$10,E$6,FALSE)</f>
        <v>0</v>
      </c>
      <c r="F83" s="50">
        <f>F81</f>
        <v>0</v>
      </c>
      <c r="G83" s="50">
        <f>G81</f>
        <v>0</v>
      </c>
      <c r="H83" s="50">
        <f>H81</f>
        <v>0</v>
      </c>
      <c r="I83" s="50">
        <f>I81</f>
        <v>0</v>
      </c>
      <c r="J83" s="58">
        <v>3</v>
      </c>
      <c r="K83" s="50">
        <f>IF(命令簿!D84&lt;&gt;"",命令簿!D84,0)</f>
        <v>0</v>
      </c>
      <c r="L83" s="50">
        <f>IF(命令簿!G84&lt;&gt;"",命令簿!G84,IF(命令簿!F84&lt;&gt;"",命令簿!F84,0))</f>
        <v>0</v>
      </c>
      <c r="M83" s="50">
        <f>IF(命令簿!I84&lt;&gt;"",命令簿!I84,$L83)</f>
        <v>0</v>
      </c>
      <c r="N83" s="50">
        <f>IF(命令簿!I84&lt;&gt;"",命令簿!F84,L83)</f>
        <v>0</v>
      </c>
      <c r="O83" s="50">
        <f t="shared" si="76"/>
        <v>0</v>
      </c>
      <c r="P83" s="355"/>
      <c r="R83" s="31">
        <f t="shared" si="70"/>
        <v>0</v>
      </c>
      <c r="S83" s="31">
        <f t="shared" si="71"/>
        <v>0</v>
      </c>
      <c r="T83" s="31">
        <f t="shared" si="72"/>
        <v>0</v>
      </c>
      <c r="U83" s="31">
        <f t="shared" si="73"/>
        <v>0</v>
      </c>
      <c r="V83" s="31">
        <f t="shared" si="74"/>
        <v>0</v>
      </c>
      <c r="W83" s="31">
        <f t="shared" si="77"/>
        <v>0</v>
      </c>
      <c r="X83" s="31">
        <f t="shared" si="47"/>
        <v>0</v>
      </c>
      <c r="Y83" s="31">
        <f t="shared" si="68"/>
        <v>0</v>
      </c>
      <c r="Z83" s="31">
        <f t="shared" si="68"/>
        <v>0</v>
      </c>
      <c r="AA83" s="31">
        <f t="shared" si="68"/>
        <v>0</v>
      </c>
      <c r="AB83" s="31">
        <f t="shared" si="68"/>
        <v>0</v>
      </c>
      <c r="AC83" s="31">
        <f t="shared" si="79"/>
        <v>0</v>
      </c>
      <c r="AD83" s="31">
        <f t="shared" si="75"/>
        <v>0</v>
      </c>
      <c r="AE83" s="31">
        <f t="shared" si="48"/>
        <v>0</v>
      </c>
      <c r="AF83" s="31">
        <f t="shared" si="80"/>
        <v>0</v>
      </c>
      <c r="AG83" s="31">
        <f t="shared" si="78"/>
        <v>0</v>
      </c>
      <c r="AH83" s="31">
        <f t="shared" si="78"/>
        <v>0</v>
      </c>
      <c r="AI83" s="31">
        <f t="shared" si="78"/>
        <v>0</v>
      </c>
      <c r="AJ83" s="31">
        <f t="shared" si="78"/>
        <v>0</v>
      </c>
      <c r="AK83" s="31">
        <f t="shared" si="78"/>
        <v>0</v>
      </c>
      <c r="AL83" s="31">
        <f t="shared" si="78"/>
        <v>0</v>
      </c>
      <c r="AM83" s="31">
        <f t="shared" si="78"/>
        <v>0</v>
      </c>
      <c r="AN83" s="31">
        <f t="shared" si="78"/>
        <v>0</v>
      </c>
      <c r="AO83" s="31">
        <f t="shared" si="78"/>
        <v>0</v>
      </c>
      <c r="AP83" s="31">
        <f t="shared" si="78"/>
        <v>0</v>
      </c>
      <c r="AQ83" s="31">
        <f t="shared" si="78"/>
        <v>0</v>
      </c>
      <c r="AR83" s="31">
        <f t="shared" si="78"/>
        <v>0</v>
      </c>
      <c r="AS83" s="31">
        <f t="shared" si="78"/>
        <v>0</v>
      </c>
      <c r="AT83" s="31">
        <f t="shared" si="78"/>
        <v>0</v>
      </c>
      <c r="AU83" s="31">
        <f t="shared" si="78"/>
        <v>0</v>
      </c>
      <c r="AW83" s="22">
        <f t="shared" si="50"/>
        <v>0</v>
      </c>
      <c r="AX83" s="22">
        <f t="shared" si="51"/>
        <v>0</v>
      </c>
      <c r="AY83" s="22">
        <f t="shared" si="52"/>
        <v>0</v>
      </c>
      <c r="AZ83" s="22">
        <f t="shared" si="53"/>
        <v>0</v>
      </c>
      <c r="BA83" s="22">
        <f t="shared" si="54"/>
        <v>0</v>
      </c>
      <c r="BB83" s="22">
        <f t="shared" si="55"/>
        <v>0</v>
      </c>
      <c r="BC83" s="22">
        <f t="shared" si="56"/>
        <v>0</v>
      </c>
      <c r="BD83" s="22">
        <f t="shared" si="57"/>
        <v>0</v>
      </c>
      <c r="BE83" s="22">
        <f t="shared" si="58"/>
        <v>0</v>
      </c>
      <c r="BF83" s="22">
        <f t="shared" si="59"/>
        <v>0</v>
      </c>
      <c r="BG83" s="22">
        <f t="shared" si="60"/>
        <v>0</v>
      </c>
      <c r="BH83" s="22">
        <f t="shared" si="61"/>
        <v>0</v>
      </c>
      <c r="BI83" s="22">
        <f t="shared" si="62"/>
        <v>0</v>
      </c>
      <c r="BJ83" s="22">
        <f t="shared" si="63"/>
        <v>0</v>
      </c>
      <c r="BK83" s="22">
        <f t="shared" si="64"/>
        <v>0</v>
      </c>
      <c r="BL83" s="22">
        <f t="shared" si="65"/>
        <v>0</v>
      </c>
      <c r="BM83" s="22" t="str">
        <f t="shared" si="66"/>
        <v>OK</v>
      </c>
    </row>
    <row r="84" spans="1:65">
      <c r="A84" s="29">
        <f>補助簿!B84</f>
        <v>41105</v>
      </c>
      <c r="B84" s="150">
        <f>命令簿!C87</f>
        <v>0</v>
      </c>
      <c r="C84" t="b">
        <f>VLOOKUP($B84,勤務形態オプション!$A$3:$D$10,C$6,FALSE)</f>
        <v>1</v>
      </c>
      <c r="D84" t="b">
        <f>VLOOKUP($B84,勤務形態オプション!$A$3:$D$10,D$6,FALSE)</f>
        <v>0</v>
      </c>
      <c r="E84" t="b">
        <f>VLOOKUP($B84,勤務形態オプション!$A$3:$D$10,E$6,FALSE)</f>
        <v>0</v>
      </c>
      <c r="F84" s="50">
        <f>補助簿!$E84</f>
        <v>0</v>
      </c>
      <c r="G84" s="50">
        <f>補助簿!$F84</f>
        <v>0</v>
      </c>
      <c r="H84" s="50">
        <f>補助簿!$C84</f>
        <v>0</v>
      </c>
      <c r="I84" s="50">
        <f>補助簿!$D84</f>
        <v>0</v>
      </c>
      <c r="J84" s="58">
        <v>1</v>
      </c>
      <c r="K84" s="50">
        <f>IF(命令簿!D85&lt;&gt;"",命令簿!D85,0)</f>
        <v>0</v>
      </c>
      <c r="L84" s="50">
        <f>IF(命令簿!G85&lt;&gt;"",命令簿!G85,IF(命令簿!F85&lt;&gt;"",命令簿!F85,0))</f>
        <v>0</v>
      </c>
      <c r="M84" s="50">
        <f>IF(命令簿!I85&lt;&gt;"",命令簿!I85,$L84)</f>
        <v>0</v>
      </c>
      <c r="N84" s="50">
        <f>IF(命令簿!I85&lt;&gt;"",命令簿!F85,L84)</f>
        <v>0</v>
      </c>
      <c r="O84" s="50">
        <f t="shared" si="76"/>
        <v>0</v>
      </c>
      <c r="P84" s="355">
        <f>SUM(O84:O86)</f>
        <v>0</v>
      </c>
      <c r="R84" s="31">
        <f t="shared" si="70"/>
        <v>0</v>
      </c>
      <c r="S84" s="31">
        <f t="shared" si="71"/>
        <v>0</v>
      </c>
      <c r="T84" s="31">
        <f t="shared" si="72"/>
        <v>0</v>
      </c>
      <c r="U84" s="31">
        <f t="shared" si="73"/>
        <v>0</v>
      </c>
      <c r="V84" s="31">
        <f t="shared" si="74"/>
        <v>0</v>
      </c>
      <c r="W84" s="31">
        <f t="shared" si="77"/>
        <v>0</v>
      </c>
      <c r="X84" s="31">
        <f t="shared" si="47"/>
        <v>0</v>
      </c>
      <c r="Y84" s="31">
        <f t="shared" si="68"/>
        <v>0</v>
      </c>
      <c r="Z84" s="31">
        <f t="shared" si="68"/>
        <v>0</v>
      </c>
      <c r="AA84" s="31">
        <f t="shared" si="68"/>
        <v>0</v>
      </c>
      <c r="AB84" s="31">
        <f t="shared" si="68"/>
        <v>0</v>
      </c>
      <c r="AC84" s="31">
        <f t="shared" si="79"/>
        <v>0</v>
      </c>
      <c r="AD84" s="31">
        <f t="shared" si="75"/>
        <v>0</v>
      </c>
      <c r="AE84" s="31">
        <f t="shared" si="48"/>
        <v>0</v>
      </c>
      <c r="AF84" s="31">
        <f t="shared" si="80"/>
        <v>0</v>
      </c>
      <c r="AG84" s="31">
        <f t="shared" si="78"/>
        <v>0</v>
      </c>
      <c r="AH84" s="31">
        <f t="shared" si="78"/>
        <v>0</v>
      </c>
      <c r="AI84" s="31">
        <f t="shared" si="78"/>
        <v>0</v>
      </c>
      <c r="AJ84" s="31">
        <f t="shared" si="78"/>
        <v>0</v>
      </c>
      <c r="AK84" s="31">
        <f t="shared" si="78"/>
        <v>0</v>
      </c>
      <c r="AL84" s="31">
        <f t="shared" si="78"/>
        <v>0</v>
      </c>
      <c r="AM84" s="31">
        <f t="shared" si="78"/>
        <v>0</v>
      </c>
      <c r="AN84" s="31">
        <f t="shared" si="78"/>
        <v>0</v>
      </c>
      <c r="AO84" s="31">
        <f t="shared" si="78"/>
        <v>0</v>
      </c>
      <c r="AP84" s="31">
        <f t="shared" si="78"/>
        <v>0</v>
      </c>
      <c r="AQ84" s="31">
        <f t="shared" si="78"/>
        <v>0</v>
      </c>
      <c r="AR84" s="31">
        <f t="shared" si="78"/>
        <v>0</v>
      </c>
      <c r="AS84" s="31">
        <f t="shared" si="78"/>
        <v>0</v>
      </c>
      <c r="AT84" s="31">
        <f t="shared" si="78"/>
        <v>0</v>
      </c>
      <c r="AU84" s="31">
        <f t="shared" si="78"/>
        <v>0</v>
      </c>
      <c r="AW84" s="22">
        <f t="shared" si="50"/>
        <v>0</v>
      </c>
      <c r="AX84" s="22">
        <f t="shared" si="51"/>
        <v>0</v>
      </c>
      <c r="AY84" s="22">
        <f t="shared" si="52"/>
        <v>0</v>
      </c>
      <c r="AZ84" s="22">
        <f t="shared" si="53"/>
        <v>0</v>
      </c>
      <c r="BA84" s="22">
        <f t="shared" si="54"/>
        <v>0</v>
      </c>
      <c r="BB84" s="22">
        <f t="shared" si="55"/>
        <v>0</v>
      </c>
      <c r="BC84" s="22">
        <f t="shared" si="56"/>
        <v>0</v>
      </c>
      <c r="BD84" s="22">
        <f t="shared" si="57"/>
        <v>0</v>
      </c>
      <c r="BE84" s="22">
        <f t="shared" si="58"/>
        <v>0</v>
      </c>
      <c r="BF84" s="22">
        <f t="shared" si="59"/>
        <v>0</v>
      </c>
      <c r="BG84" s="22">
        <f t="shared" si="60"/>
        <v>0</v>
      </c>
      <c r="BH84" s="22">
        <f t="shared" si="61"/>
        <v>0</v>
      </c>
      <c r="BI84" s="22">
        <f t="shared" si="62"/>
        <v>0</v>
      </c>
      <c r="BJ84" s="22">
        <f t="shared" si="63"/>
        <v>0</v>
      </c>
      <c r="BK84" s="22">
        <f t="shared" si="64"/>
        <v>0</v>
      </c>
      <c r="BL84" s="22">
        <f t="shared" si="65"/>
        <v>0</v>
      </c>
      <c r="BM84" s="22" t="str">
        <f t="shared" si="66"/>
        <v>OK</v>
      </c>
    </row>
    <row r="85" spans="1:65">
      <c r="A85" s="29">
        <f>A84</f>
        <v>41105</v>
      </c>
      <c r="B85">
        <f>B84</f>
        <v>0</v>
      </c>
      <c r="C85" t="b">
        <f>VLOOKUP($B85,勤務形態オプション!$A$3:$D$10,C$6,FALSE)</f>
        <v>1</v>
      </c>
      <c r="D85" t="b">
        <f>VLOOKUP($B85,勤務形態オプション!$A$3:$D$10,D$6,FALSE)</f>
        <v>0</v>
      </c>
      <c r="E85" t="b">
        <f>VLOOKUP($B85,勤務形態オプション!$A$3:$D$10,E$6,FALSE)</f>
        <v>0</v>
      </c>
      <c r="F85" s="50">
        <f>F84</f>
        <v>0</v>
      </c>
      <c r="G85" s="50">
        <f>G84</f>
        <v>0</v>
      </c>
      <c r="H85" s="50">
        <f>H84</f>
        <v>0</v>
      </c>
      <c r="I85" s="50">
        <f>I84</f>
        <v>0</v>
      </c>
      <c r="J85" s="58">
        <v>2</v>
      </c>
      <c r="K85" s="50">
        <f>IF(命令簿!D86&lt;&gt;"",命令簿!D86,0)</f>
        <v>0</v>
      </c>
      <c r="L85" s="50">
        <f>IF(命令簿!G86&lt;&gt;"",命令簿!G86,IF(命令簿!F86&lt;&gt;"",命令簿!F86,0))</f>
        <v>0</v>
      </c>
      <c r="M85" s="50">
        <f>IF(命令簿!I86&lt;&gt;"",命令簿!I86,$L85)</f>
        <v>0</v>
      </c>
      <c r="N85" s="50">
        <f>IF(命令簿!I86&lt;&gt;"",命令簿!F86,L85)</f>
        <v>0</v>
      </c>
      <c r="O85" s="50">
        <f t="shared" si="76"/>
        <v>0</v>
      </c>
      <c r="P85" s="355"/>
      <c r="R85" s="31">
        <f t="shared" si="70"/>
        <v>0</v>
      </c>
      <c r="S85" s="31">
        <f t="shared" si="71"/>
        <v>0</v>
      </c>
      <c r="T85" s="31">
        <f t="shared" si="72"/>
        <v>0</v>
      </c>
      <c r="U85" s="31">
        <f t="shared" si="73"/>
        <v>0</v>
      </c>
      <c r="V85" s="31">
        <f t="shared" si="74"/>
        <v>0</v>
      </c>
      <c r="W85" s="31">
        <f t="shared" si="77"/>
        <v>0</v>
      </c>
      <c r="X85" s="31">
        <f t="shared" si="47"/>
        <v>0</v>
      </c>
      <c r="Y85" s="31">
        <f t="shared" si="68"/>
        <v>0</v>
      </c>
      <c r="Z85" s="31">
        <f t="shared" si="68"/>
        <v>0</v>
      </c>
      <c r="AA85" s="31">
        <f t="shared" si="68"/>
        <v>0</v>
      </c>
      <c r="AB85" s="31">
        <f t="shared" si="68"/>
        <v>0</v>
      </c>
      <c r="AC85" s="31">
        <f t="shared" si="79"/>
        <v>0</v>
      </c>
      <c r="AD85" s="31">
        <f t="shared" si="75"/>
        <v>0</v>
      </c>
      <c r="AE85" s="31">
        <f t="shared" si="48"/>
        <v>0</v>
      </c>
      <c r="AF85" s="31">
        <f t="shared" si="80"/>
        <v>0</v>
      </c>
      <c r="AG85" s="31">
        <f t="shared" si="78"/>
        <v>0</v>
      </c>
      <c r="AH85" s="31">
        <f t="shared" si="78"/>
        <v>0</v>
      </c>
      <c r="AI85" s="31">
        <f t="shared" si="78"/>
        <v>0</v>
      </c>
      <c r="AJ85" s="31">
        <f t="shared" si="78"/>
        <v>0</v>
      </c>
      <c r="AK85" s="31">
        <f t="shared" si="78"/>
        <v>0</v>
      </c>
      <c r="AL85" s="31">
        <f t="shared" si="78"/>
        <v>0</v>
      </c>
      <c r="AM85" s="31">
        <f t="shared" si="78"/>
        <v>0</v>
      </c>
      <c r="AN85" s="31">
        <f t="shared" si="78"/>
        <v>0</v>
      </c>
      <c r="AO85" s="31">
        <f t="shared" si="78"/>
        <v>0</v>
      </c>
      <c r="AP85" s="31">
        <f t="shared" si="78"/>
        <v>0</v>
      </c>
      <c r="AQ85" s="31">
        <f t="shared" si="78"/>
        <v>0</v>
      </c>
      <c r="AR85" s="31">
        <f t="shared" si="78"/>
        <v>0</v>
      </c>
      <c r="AS85" s="31">
        <f t="shared" si="78"/>
        <v>0</v>
      </c>
      <c r="AT85" s="31">
        <f t="shared" si="78"/>
        <v>0</v>
      </c>
      <c r="AU85" s="31">
        <f t="shared" si="78"/>
        <v>0</v>
      </c>
      <c r="AW85" s="22">
        <f t="shared" si="50"/>
        <v>0</v>
      </c>
      <c r="AX85" s="22">
        <f t="shared" si="51"/>
        <v>0</v>
      </c>
      <c r="AY85" s="22">
        <f t="shared" si="52"/>
        <v>0</v>
      </c>
      <c r="AZ85" s="22">
        <f t="shared" si="53"/>
        <v>0</v>
      </c>
      <c r="BA85" s="22">
        <f t="shared" si="54"/>
        <v>0</v>
      </c>
      <c r="BB85" s="22">
        <f t="shared" si="55"/>
        <v>0</v>
      </c>
      <c r="BC85" s="22">
        <f t="shared" si="56"/>
        <v>0</v>
      </c>
      <c r="BD85" s="22">
        <f t="shared" si="57"/>
        <v>0</v>
      </c>
      <c r="BE85" s="22">
        <f t="shared" si="58"/>
        <v>0</v>
      </c>
      <c r="BF85" s="22">
        <f t="shared" si="59"/>
        <v>0</v>
      </c>
      <c r="BG85" s="22">
        <f t="shared" si="60"/>
        <v>0</v>
      </c>
      <c r="BH85" s="22">
        <f t="shared" si="61"/>
        <v>0</v>
      </c>
      <c r="BI85" s="22">
        <f t="shared" si="62"/>
        <v>0</v>
      </c>
      <c r="BJ85" s="22">
        <f t="shared" si="63"/>
        <v>0</v>
      </c>
      <c r="BK85" s="22">
        <f t="shared" si="64"/>
        <v>0</v>
      </c>
      <c r="BL85" s="22">
        <f t="shared" si="65"/>
        <v>0</v>
      </c>
      <c r="BM85" s="22" t="str">
        <f t="shared" si="66"/>
        <v>OK</v>
      </c>
    </row>
    <row r="86" spans="1:65">
      <c r="A86" s="29">
        <f>A85</f>
        <v>41105</v>
      </c>
      <c r="B86">
        <f>B85</f>
        <v>0</v>
      </c>
      <c r="C86" t="b">
        <f>VLOOKUP($B86,勤務形態オプション!$A$3:$D$10,C$6,FALSE)</f>
        <v>1</v>
      </c>
      <c r="D86" t="b">
        <f>VLOOKUP($B86,勤務形態オプション!$A$3:$D$10,D$6,FALSE)</f>
        <v>0</v>
      </c>
      <c r="E86" t="b">
        <f>VLOOKUP($B86,勤務形態オプション!$A$3:$D$10,E$6,FALSE)</f>
        <v>0</v>
      </c>
      <c r="F86" s="50">
        <f>F84</f>
        <v>0</v>
      </c>
      <c r="G86" s="50">
        <f>G84</f>
        <v>0</v>
      </c>
      <c r="H86" s="50">
        <f>H84</f>
        <v>0</v>
      </c>
      <c r="I86" s="50">
        <f>I84</f>
        <v>0</v>
      </c>
      <c r="J86" s="58">
        <v>3</v>
      </c>
      <c r="K86" s="50">
        <f>IF(命令簿!D87&lt;&gt;"",命令簿!D87,0)</f>
        <v>0</v>
      </c>
      <c r="L86" s="50">
        <f>IF(命令簿!G87&lt;&gt;"",命令簿!G87,IF(命令簿!F87&lt;&gt;"",命令簿!F87,0))</f>
        <v>0</v>
      </c>
      <c r="M86" s="50">
        <f>IF(命令簿!I87&lt;&gt;"",命令簿!I87,$L86)</f>
        <v>0</v>
      </c>
      <c r="N86" s="50">
        <f>IF(命令簿!I87&lt;&gt;"",命令簿!F87,L86)</f>
        <v>0</v>
      </c>
      <c r="O86" s="50">
        <f t="shared" si="76"/>
        <v>0</v>
      </c>
      <c r="P86" s="355"/>
      <c r="R86" s="31">
        <f t="shared" si="70"/>
        <v>0</v>
      </c>
      <c r="S86" s="31">
        <f t="shared" si="71"/>
        <v>0</v>
      </c>
      <c r="T86" s="31">
        <f t="shared" si="72"/>
        <v>0</v>
      </c>
      <c r="U86" s="31">
        <f t="shared" si="73"/>
        <v>0</v>
      </c>
      <c r="V86" s="31">
        <f t="shared" si="74"/>
        <v>0</v>
      </c>
      <c r="W86" s="31">
        <f t="shared" si="77"/>
        <v>0</v>
      </c>
      <c r="X86" s="31">
        <f t="shared" si="47"/>
        <v>0</v>
      </c>
      <c r="Y86" s="31">
        <f t="shared" si="68"/>
        <v>0</v>
      </c>
      <c r="Z86" s="31">
        <f t="shared" si="68"/>
        <v>0</v>
      </c>
      <c r="AA86" s="31">
        <f t="shared" si="68"/>
        <v>0</v>
      </c>
      <c r="AB86" s="31">
        <f t="shared" si="68"/>
        <v>0</v>
      </c>
      <c r="AC86" s="31">
        <f t="shared" si="79"/>
        <v>0</v>
      </c>
      <c r="AD86" s="31">
        <f t="shared" si="75"/>
        <v>0</v>
      </c>
      <c r="AE86" s="31">
        <f t="shared" si="48"/>
        <v>0</v>
      </c>
      <c r="AF86" s="31">
        <f t="shared" si="80"/>
        <v>0</v>
      </c>
      <c r="AG86" s="31">
        <f t="shared" si="78"/>
        <v>0</v>
      </c>
      <c r="AH86" s="31">
        <f t="shared" si="78"/>
        <v>0</v>
      </c>
      <c r="AI86" s="31">
        <f t="shared" si="78"/>
        <v>0</v>
      </c>
      <c r="AJ86" s="31">
        <f t="shared" si="78"/>
        <v>0</v>
      </c>
      <c r="AK86" s="31">
        <f t="shared" si="78"/>
        <v>0</v>
      </c>
      <c r="AL86" s="31">
        <f t="shared" si="78"/>
        <v>0</v>
      </c>
      <c r="AM86" s="31">
        <f t="shared" si="78"/>
        <v>0</v>
      </c>
      <c r="AN86" s="31">
        <f t="shared" si="78"/>
        <v>0</v>
      </c>
      <c r="AO86" s="31">
        <f t="shared" si="78"/>
        <v>0</v>
      </c>
      <c r="AP86" s="31">
        <f t="shared" si="78"/>
        <v>0</v>
      </c>
      <c r="AQ86" s="31">
        <f t="shared" si="78"/>
        <v>0</v>
      </c>
      <c r="AR86" s="31">
        <f t="shared" si="78"/>
        <v>0</v>
      </c>
      <c r="AS86" s="31">
        <f t="shared" si="78"/>
        <v>0</v>
      </c>
      <c r="AT86" s="31">
        <f t="shared" si="78"/>
        <v>0</v>
      </c>
      <c r="AU86" s="31">
        <f t="shared" si="78"/>
        <v>0</v>
      </c>
      <c r="AW86" s="22">
        <f t="shared" si="50"/>
        <v>0</v>
      </c>
      <c r="AX86" s="22">
        <f t="shared" si="51"/>
        <v>0</v>
      </c>
      <c r="AY86" s="22">
        <f t="shared" si="52"/>
        <v>0</v>
      </c>
      <c r="AZ86" s="22">
        <f t="shared" si="53"/>
        <v>0</v>
      </c>
      <c r="BA86" s="22">
        <f t="shared" si="54"/>
        <v>0</v>
      </c>
      <c r="BB86" s="22">
        <f t="shared" si="55"/>
        <v>0</v>
      </c>
      <c r="BC86" s="22">
        <f t="shared" si="56"/>
        <v>0</v>
      </c>
      <c r="BD86" s="22">
        <f t="shared" si="57"/>
        <v>0</v>
      </c>
      <c r="BE86" s="22">
        <f t="shared" si="58"/>
        <v>0</v>
      </c>
      <c r="BF86" s="22">
        <f t="shared" si="59"/>
        <v>0</v>
      </c>
      <c r="BG86" s="22">
        <f t="shared" si="60"/>
        <v>0</v>
      </c>
      <c r="BH86" s="22">
        <f t="shared" si="61"/>
        <v>0</v>
      </c>
      <c r="BI86" s="22">
        <f t="shared" si="62"/>
        <v>0</v>
      </c>
      <c r="BJ86" s="22">
        <f t="shared" si="63"/>
        <v>0</v>
      </c>
      <c r="BK86" s="22">
        <f t="shared" si="64"/>
        <v>0</v>
      </c>
      <c r="BL86" s="22">
        <f t="shared" si="65"/>
        <v>0</v>
      </c>
      <c r="BM86" s="22" t="str">
        <f t="shared" si="66"/>
        <v>OK</v>
      </c>
    </row>
    <row r="87" spans="1:65">
      <c r="A87" s="29">
        <f>補助簿!B87</f>
        <v>41106</v>
      </c>
      <c r="B87" s="151">
        <f>命令簿!C90</f>
        <v>0</v>
      </c>
      <c r="C87" t="b">
        <f>VLOOKUP($B87,勤務形態オプション!$A$3:$D$10,C$6,FALSE)</f>
        <v>1</v>
      </c>
      <c r="D87" t="b">
        <f>VLOOKUP($B87,勤務形態オプション!$A$3:$D$10,D$6,FALSE)</f>
        <v>0</v>
      </c>
      <c r="E87" t="b">
        <f>VLOOKUP($B87,勤務形態オプション!$A$3:$D$10,E$6,FALSE)</f>
        <v>0</v>
      </c>
      <c r="F87" s="50">
        <f>補助簿!$E87</f>
        <v>0</v>
      </c>
      <c r="G87" s="50">
        <f>補助簿!$F87</f>
        <v>0</v>
      </c>
      <c r="H87" s="50">
        <f>補助簿!$C87</f>
        <v>0</v>
      </c>
      <c r="I87" s="50">
        <f>補助簿!$D87</f>
        <v>0</v>
      </c>
      <c r="J87" s="58">
        <v>1</v>
      </c>
      <c r="K87" s="50">
        <f>IF(命令簿!D88&lt;&gt;"",命令簿!D88,0)</f>
        <v>0</v>
      </c>
      <c r="L87" s="50">
        <f>IF(命令簿!G88&lt;&gt;"",命令簿!G88,IF(命令簿!F88&lt;&gt;"",命令簿!F88,0))</f>
        <v>0</v>
      </c>
      <c r="M87" s="50">
        <f>IF(命令簿!I88&lt;&gt;"",命令簿!I88,$L87)</f>
        <v>0</v>
      </c>
      <c r="N87" s="50">
        <f>IF(命令簿!I88&lt;&gt;"",命令簿!F88,L87)</f>
        <v>0</v>
      </c>
      <c r="O87" s="50">
        <f t="shared" si="76"/>
        <v>0</v>
      </c>
      <c r="P87" s="355">
        <f>SUM(O87:O89)</f>
        <v>0</v>
      </c>
      <c r="R87" s="31">
        <f t="shared" si="70"/>
        <v>0</v>
      </c>
      <c r="S87" s="31">
        <f t="shared" si="71"/>
        <v>0</v>
      </c>
      <c r="T87" s="31">
        <f t="shared" si="72"/>
        <v>0</v>
      </c>
      <c r="U87" s="31">
        <f t="shared" si="73"/>
        <v>0</v>
      </c>
      <c r="V87" s="31">
        <f t="shared" si="74"/>
        <v>0</v>
      </c>
      <c r="W87" s="31">
        <f t="shared" si="77"/>
        <v>0</v>
      </c>
      <c r="X87" s="31">
        <f t="shared" si="47"/>
        <v>0</v>
      </c>
      <c r="Y87" s="31">
        <f t="shared" si="68"/>
        <v>0</v>
      </c>
      <c r="Z87" s="31">
        <f t="shared" si="68"/>
        <v>0</v>
      </c>
      <c r="AA87" s="31">
        <f t="shared" si="68"/>
        <v>0</v>
      </c>
      <c r="AB87" s="31">
        <f t="shared" si="68"/>
        <v>0</v>
      </c>
      <c r="AC87" s="31">
        <f t="shared" si="79"/>
        <v>0</v>
      </c>
      <c r="AD87" s="31">
        <f t="shared" si="75"/>
        <v>0</v>
      </c>
      <c r="AE87" s="31">
        <f t="shared" si="48"/>
        <v>0</v>
      </c>
      <c r="AF87" s="31">
        <f t="shared" si="80"/>
        <v>0</v>
      </c>
      <c r="AG87" s="31">
        <f t="shared" si="78"/>
        <v>0</v>
      </c>
      <c r="AH87" s="31">
        <f t="shared" si="78"/>
        <v>0</v>
      </c>
      <c r="AI87" s="31">
        <f t="shared" si="78"/>
        <v>0</v>
      </c>
      <c r="AJ87" s="31">
        <f t="shared" si="78"/>
        <v>0</v>
      </c>
      <c r="AK87" s="31">
        <f t="shared" si="78"/>
        <v>0</v>
      </c>
      <c r="AL87" s="31">
        <f t="shared" si="78"/>
        <v>0</v>
      </c>
      <c r="AM87" s="31">
        <f t="shared" si="78"/>
        <v>0</v>
      </c>
      <c r="AN87" s="31">
        <f t="shared" si="78"/>
        <v>0</v>
      </c>
      <c r="AO87" s="31">
        <f t="shared" si="78"/>
        <v>0</v>
      </c>
      <c r="AP87" s="31">
        <f t="shared" si="78"/>
        <v>0</v>
      </c>
      <c r="AQ87" s="31">
        <f t="shared" si="78"/>
        <v>0</v>
      </c>
      <c r="AR87" s="31">
        <f t="shared" si="78"/>
        <v>0</v>
      </c>
      <c r="AS87" s="31">
        <f t="shared" si="78"/>
        <v>0</v>
      </c>
      <c r="AT87" s="31">
        <f t="shared" si="78"/>
        <v>0</v>
      </c>
      <c r="AU87" s="31">
        <f t="shared" si="78"/>
        <v>0</v>
      </c>
      <c r="AW87" s="22">
        <f t="shared" si="50"/>
        <v>0</v>
      </c>
      <c r="AX87" s="22">
        <f t="shared" si="51"/>
        <v>0</v>
      </c>
      <c r="AY87" s="22">
        <f t="shared" si="52"/>
        <v>0</v>
      </c>
      <c r="AZ87" s="22">
        <f t="shared" si="53"/>
        <v>0</v>
      </c>
      <c r="BA87" s="22">
        <f t="shared" si="54"/>
        <v>0</v>
      </c>
      <c r="BB87" s="22">
        <f t="shared" si="55"/>
        <v>0</v>
      </c>
      <c r="BC87" s="22">
        <f t="shared" si="56"/>
        <v>0</v>
      </c>
      <c r="BD87" s="22">
        <f t="shared" si="57"/>
        <v>0</v>
      </c>
      <c r="BE87" s="22">
        <f t="shared" si="58"/>
        <v>0</v>
      </c>
      <c r="BF87" s="22">
        <f t="shared" si="59"/>
        <v>0</v>
      </c>
      <c r="BG87" s="22">
        <f t="shared" si="60"/>
        <v>0</v>
      </c>
      <c r="BH87" s="22">
        <f t="shared" si="61"/>
        <v>0</v>
      </c>
      <c r="BI87" s="22">
        <f t="shared" si="62"/>
        <v>0</v>
      </c>
      <c r="BJ87" s="22">
        <f t="shared" si="63"/>
        <v>0</v>
      </c>
      <c r="BK87" s="22">
        <f t="shared" si="64"/>
        <v>0</v>
      </c>
      <c r="BL87" s="22">
        <f t="shared" si="65"/>
        <v>0</v>
      </c>
      <c r="BM87" s="22" t="str">
        <f t="shared" si="66"/>
        <v>OK</v>
      </c>
    </row>
    <row r="88" spans="1:65">
      <c r="A88" s="29">
        <f>A87</f>
        <v>41106</v>
      </c>
      <c r="B88">
        <f>B87</f>
        <v>0</v>
      </c>
      <c r="C88" t="b">
        <f>VLOOKUP($B88,勤務形態オプション!$A$3:$D$10,C$6,FALSE)</f>
        <v>1</v>
      </c>
      <c r="D88" t="b">
        <f>VLOOKUP($B88,勤務形態オプション!$A$3:$D$10,D$6,FALSE)</f>
        <v>0</v>
      </c>
      <c r="E88" t="b">
        <f>VLOOKUP($B88,勤務形態オプション!$A$3:$D$10,E$6,FALSE)</f>
        <v>0</v>
      </c>
      <c r="F88" s="50">
        <f>F87</f>
        <v>0</v>
      </c>
      <c r="G88" s="50">
        <f>G87</f>
        <v>0</v>
      </c>
      <c r="H88" s="50">
        <f>H87</f>
        <v>0</v>
      </c>
      <c r="I88" s="50">
        <f>I87</f>
        <v>0</v>
      </c>
      <c r="J88" s="58">
        <v>2</v>
      </c>
      <c r="K88" s="50">
        <f>IF(命令簿!D89&lt;&gt;"",命令簿!D89,0)</f>
        <v>0</v>
      </c>
      <c r="L88" s="50">
        <f>IF(命令簿!G89&lt;&gt;"",命令簿!G89,IF(命令簿!F89&lt;&gt;"",命令簿!F89,0))</f>
        <v>0</v>
      </c>
      <c r="M88" s="50">
        <f>IF(命令簿!I89&lt;&gt;"",命令簿!I89,$L88)</f>
        <v>0</v>
      </c>
      <c r="N88" s="50">
        <f>IF(命令簿!I89&lt;&gt;"",命令簿!F89,L88)</f>
        <v>0</v>
      </c>
      <c r="O88" s="50">
        <f t="shared" si="76"/>
        <v>0</v>
      </c>
      <c r="P88" s="355"/>
      <c r="R88" s="31">
        <f t="shared" si="70"/>
        <v>0</v>
      </c>
      <c r="S88" s="31">
        <f t="shared" si="71"/>
        <v>0</v>
      </c>
      <c r="T88" s="31">
        <f t="shared" si="72"/>
        <v>0</v>
      </c>
      <c r="U88" s="31">
        <f t="shared" si="73"/>
        <v>0</v>
      </c>
      <c r="V88" s="31">
        <f t="shared" si="74"/>
        <v>0</v>
      </c>
      <c r="W88" s="31">
        <f t="shared" si="77"/>
        <v>0</v>
      </c>
      <c r="X88" s="31">
        <f t="shared" si="47"/>
        <v>0</v>
      </c>
      <c r="Y88" s="31">
        <f t="shared" si="68"/>
        <v>0</v>
      </c>
      <c r="Z88" s="31">
        <f t="shared" si="68"/>
        <v>0</v>
      </c>
      <c r="AA88" s="31">
        <f t="shared" si="68"/>
        <v>0</v>
      </c>
      <c r="AB88" s="31">
        <f t="shared" si="68"/>
        <v>0</v>
      </c>
      <c r="AC88" s="31">
        <f t="shared" si="79"/>
        <v>0</v>
      </c>
      <c r="AD88" s="31">
        <f t="shared" si="75"/>
        <v>0</v>
      </c>
      <c r="AE88" s="31">
        <f t="shared" si="48"/>
        <v>0</v>
      </c>
      <c r="AF88" s="31">
        <f t="shared" si="80"/>
        <v>0</v>
      </c>
      <c r="AG88" s="31">
        <f t="shared" si="78"/>
        <v>0</v>
      </c>
      <c r="AH88" s="31">
        <f t="shared" si="78"/>
        <v>0</v>
      </c>
      <c r="AI88" s="31">
        <f t="shared" si="78"/>
        <v>0</v>
      </c>
      <c r="AJ88" s="31">
        <f t="shared" si="78"/>
        <v>0</v>
      </c>
      <c r="AK88" s="31">
        <f t="shared" si="78"/>
        <v>0</v>
      </c>
      <c r="AL88" s="31">
        <f t="shared" si="78"/>
        <v>0</v>
      </c>
      <c r="AM88" s="31">
        <f t="shared" si="78"/>
        <v>0</v>
      </c>
      <c r="AN88" s="31">
        <f t="shared" si="78"/>
        <v>0</v>
      </c>
      <c r="AO88" s="31">
        <f t="shared" si="78"/>
        <v>0</v>
      </c>
      <c r="AP88" s="31">
        <f t="shared" si="78"/>
        <v>0</v>
      </c>
      <c r="AQ88" s="31">
        <f t="shared" si="78"/>
        <v>0</v>
      </c>
      <c r="AR88" s="31">
        <f t="shared" si="78"/>
        <v>0</v>
      </c>
      <c r="AS88" s="31">
        <f t="shared" si="78"/>
        <v>0</v>
      </c>
      <c r="AT88" s="31">
        <f t="shared" si="78"/>
        <v>0</v>
      </c>
      <c r="AU88" s="31">
        <f t="shared" si="78"/>
        <v>0</v>
      </c>
      <c r="AW88" s="22">
        <f t="shared" si="50"/>
        <v>0</v>
      </c>
      <c r="AX88" s="22">
        <f t="shared" si="51"/>
        <v>0</v>
      </c>
      <c r="AY88" s="22">
        <f t="shared" si="52"/>
        <v>0</v>
      </c>
      <c r="AZ88" s="22">
        <f t="shared" si="53"/>
        <v>0</v>
      </c>
      <c r="BA88" s="22">
        <f t="shared" si="54"/>
        <v>0</v>
      </c>
      <c r="BB88" s="22">
        <f t="shared" si="55"/>
        <v>0</v>
      </c>
      <c r="BC88" s="22">
        <f t="shared" si="56"/>
        <v>0</v>
      </c>
      <c r="BD88" s="22">
        <f t="shared" si="57"/>
        <v>0</v>
      </c>
      <c r="BE88" s="22">
        <f t="shared" si="58"/>
        <v>0</v>
      </c>
      <c r="BF88" s="22">
        <f t="shared" si="59"/>
        <v>0</v>
      </c>
      <c r="BG88" s="22">
        <f t="shared" si="60"/>
        <v>0</v>
      </c>
      <c r="BH88" s="22">
        <f t="shared" si="61"/>
        <v>0</v>
      </c>
      <c r="BI88" s="22">
        <f t="shared" si="62"/>
        <v>0</v>
      </c>
      <c r="BJ88" s="22">
        <f t="shared" si="63"/>
        <v>0</v>
      </c>
      <c r="BK88" s="22">
        <f t="shared" si="64"/>
        <v>0</v>
      </c>
      <c r="BL88" s="22">
        <f t="shared" si="65"/>
        <v>0</v>
      </c>
      <c r="BM88" s="22" t="str">
        <f t="shared" si="66"/>
        <v>OK</v>
      </c>
    </row>
    <row r="89" spans="1:65">
      <c r="A89" s="29">
        <f>A88</f>
        <v>41106</v>
      </c>
      <c r="B89">
        <f>B88</f>
        <v>0</v>
      </c>
      <c r="C89" t="b">
        <f>VLOOKUP($B89,勤務形態オプション!$A$3:$D$10,C$6,FALSE)</f>
        <v>1</v>
      </c>
      <c r="D89" t="b">
        <f>VLOOKUP($B89,勤務形態オプション!$A$3:$D$10,D$6,FALSE)</f>
        <v>0</v>
      </c>
      <c r="E89" t="b">
        <f>VLOOKUP($B89,勤務形態オプション!$A$3:$D$10,E$6,FALSE)</f>
        <v>0</v>
      </c>
      <c r="F89" s="50">
        <f>F87</f>
        <v>0</v>
      </c>
      <c r="G89" s="50">
        <f>G87</f>
        <v>0</v>
      </c>
      <c r="H89" s="50">
        <f>H87</f>
        <v>0</v>
      </c>
      <c r="I89" s="50">
        <f>I87</f>
        <v>0</v>
      </c>
      <c r="J89" s="58">
        <v>3</v>
      </c>
      <c r="K89" s="50">
        <f>IF(命令簿!D90&lt;&gt;"",命令簿!D90,0)</f>
        <v>0</v>
      </c>
      <c r="L89" s="50">
        <f>IF(命令簿!G90&lt;&gt;"",命令簿!G90,IF(命令簿!F90&lt;&gt;"",命令簿!F90,0))</f>
        <v>0</v>
      </c>
      <c r="M89" s="50">
        <f>IF(命令簿!I90&lt;&gt;"",命令簿!I90,$L89)</f>
        <v>0</v>
      </c>
      <c r="N89" s="50">
        <f>IF(命令簿!I90&lt;&gt;"",命令簿!F90,L89)</f>
        <v>0</v>
      </c>
      <c r="O89" s="50">
        <f t="shared" si="76"/>
        <v>0</v>
      </c>
      <c r="P89" s="355"/>
      <c r="R89" s="31">
        <f t="shared" si="70"/>
        <v>0</v>
      </c>
      <c r="S89" s="31">
        <f t="shared" si="71"/>
        <v>0</v>
      </c>
      <c r="T89" s="31">
        <f t="shared" si="72"/>
        <v>0</v>
      </c>
      <c r="U89" s="31">
        <f t="shared" si="73"/>
        <v>0</v>
      </c>
      <c r="V89" s="31">
        <f t="shared" si="74"/>
        <v>0</v>
      </c>
      <c r="W89" s="31">
        <f t="shared" si="77"/>
        <v>0</v>
      </c>
      <c r="X89" s="31">
        <f t="shared" si="47"/>
        <v>0</v>
      </c>
      <c r="Y89" s="31">
        <f t="shared" ref="Y89:AB101" si="81">CalcOverTime($E89,$X89,$U89,$T89,$S89,$R89,Y$7)</f>
        <v>0</v>
      </c>
      <c r="Z89" s="31">
        <f t="shared" si="81"/>
        <v>0</v>
      </c>
      <c r="AA89" s="31">
        <f t="shared" si="81"/>
        <v>0</v>
      </c>
      <c r="AB89" s="31">
        <f t="shared" si="81"/>
        <v>0</v>
      </c>
      <c r="AC89" s="31">
        <f t="shared" si="79"/>
        <v>0</v>
      </c>
      <c r="AD89" s="31">
        <f t="shared" si="75"/>
        <v>0</v>
      </c>
      <c r="AE89" s="31">
        <f t="shared" si="48"/>
        <v>0</v>
      </c>
      <c r="AF89" s="31">
        <f t="shared" si="80"/>
        <v>0</v>
      </c>
      <c r="AG89" s="31">
        <f t="shared" ref="AG89:AU101" si="82">AllocateWorkTime($C89:$I89,$Y89:$AF89,AG$6)</f>
        <v>0</v>
      </c>
      <c r="AH89" s="31">
        <f t="shared" si="82"/>
        <v>0</v>
      </c>
      <c r="AI89" s="31">
        <f t="shared" si="82"/>
        <v>0</v>
      </c>
      <c r="AJ89" s="31">
        <f t="shared" si="82"/>
        <v>0</v>
      </c>
      <c r="AK89" s="31">
        <f t="shared" si="82"/>
        <v>0</v>
      </c>
      <c r="AL89" s="31">
        <f t="shared" si="82"/>
        <v>0</v>
      </c>
      <c r="AM89" s="31">
        <f t="shared" si="82"/>
        <v>0</v>
      </c>
      <c r="AN89" s="31">
        <f t="shared" si="82"/>
        <v>0</v>
      </c>
      <c r="AO89" s="31">
        <f t="shared" si="82"/>
        <v>0</v>
      </c>
      <c r="AP89" s="31">
        <f t="shared" si="82"/>
        <v>0</v>
      </c>
      <c r="AQ89" s="31">
        <f t="shared" si="82"/>
        <v>0</v>
      </c>
      <c r="AR89" s="31">
        <f t="shared" si="82"/>
        <v>0</v>
      </c>
      <c r="AS89" s="31">
        <f t="shared" si="82"/>
        <v>0</v>
      </c>
      <c r="AT89" s="31">
        <f t="shared" si="82"/>
        <v>0</v>
      </c>
      <c r="AU89" s="31">
        <f t="shared" si="82"/>
        <v>0</v>
      </c>
      <c r="AW89" s="22">
        <f t="shared" si="50"/>
        <v>0</v>
      </c>
      <c r="AX89" s="22">
        <f t="shared" si="51"/>
        <v>0</v>
      </c>
      <c r="AY89" s="22">
        <f t="shared" si="52"/>
        <v>0</v>
      </c>
      <c r="AZ89" s="22">
        <f t="shared" si="53"/>
        <v>0</v>
      </c>
      <c r="BA89" s="22">
        <f t="shared" si="54"/>
        <v>0</v>
      </c>
      <c r="BB89" s="22">
        <f t="shared" si="55"/>
        <v>0</v>
      </c>
      <c r="BC89" s="22">
        <f t="shared" si="56"/>
        <v>0</v>
      </c>
      <c r="BD89" s="22">
        <f t="shared" si="57"/>
        <v>0</v>
      </c>
      <c r="BE89" s="22">
        <f t="shared" si="58"/>
        <v>0</v>
      </c>
      <c r="BF89" s="22">
        <f t="shared" si="59"/>
        <v>0</v>
      </c>
      <c r="BG89" s="22">
        <f t="shared" si="60"/>
        <v>0</v>
      </c>
      <c r="BH89" s="22">
        <f t="shared" si="61"/>
        <v>0</v>
      </c>
      <c r="BI89" s="22">
        <f t="shared" si="62"/>
        <v>0</v>
      </c>
      <c r="BJ89" s="22">
        <f t="shared" si="63"/>
        <v>0</v>
      </c>
      <c r="BK89" s="22">
        <f t="shared" si="64"/>
        <v>0</v>
      </c>
      <c r="BL89" s="22">
        <f t="shared" si="65"/>
        <v>0</v>
      </c>
      <c r="BM89" s="22" t="str">
        <f t="shared" si="66"/>
        <v>OK</v>
      </c>
    </row>
    <row r="90" spans="1:65">
      <c r="A90" s="29">
        <f>補助簿!B90</f>
        <v>41107</v>
      </c>
      <c r="B90" s="150">
        <f>命令簿!C93</f>
        <v>0</v>
      </c>
      <c r="C90" t="b">
        <f>VLOOKUP($B90,勤務形態オプション!$A$3:$D$10,C$6,FALSE)</f>
        <v>1</v>
      </c>
      <c r="D90" t="b">
        <f>VLOOKUP($B90,勤務形態オプション!$A$3:$D$10,D$6,FALSE)</f>
        <v>0</v>
      </c>
      <c r="E90" t="b">
        <f>VLOOKUP($B90,勤務形態オプション!$A$3:$D$10,E$6,FALSE)</f>
        <v>0</v>
      </c>
      <c r="F90" s="50">
        <f>補助簿!$E90</f>
        <v>0</v>
      </c>
      <c r="G90" s="50">
        <f>補助簿!$F90</f>
        <v>0</v>
      </c>
      <c r="H90" s="50">
        <f>補助簿!$C90</f>
        <v>0</v>
      </c>
      <c r="I90" s="50">
        <f>補助簿!$D90</f>
        <v>0</v>
      </c>
      <c r="J90" s="58">
        <v>1</v>
      </c>
      <c r="K90" s="50">
        <f>IF(命令簿!D91&lt;&gt;"",命令簿!D91,0)</f>
        <v>0</v>
      </c>
      <c r="L90" s="50">
        <f>IF(命令簿!G91&lt;&gt;"",命令簿!G91,IF(命令簿!F91&lt;&gt;"",命令簿!F91,0))</f>
        <v>0</v>
      </c>
      <c r="M90" s="50">
        <f>IF(命令簿!I91&lt;&gt;"",命令簿!I91,$L90)</f>
        <v>0</v>
      </c>
      <c r="N90" s="50">
        <f>IF(命令簿!I91&lt;&gt;"",命令簿!F91,L90)</f>
        <v>0</v>
      </c>
      <c r="O90" s="50">
        <f t="shared" si="76"/>
        <v>0</v>
      </c>
      <c r="P90" s="355">
        <f>SUM(O90:O92)</f>
        <v>0</v>
      </c>
      <c r="R90" s="31">
        <f t="shared" si="70"/>
        <v>0</v>
      </c>
      <c r="S90" s="31">
        <f t="shared" si="71"/>
        <v>0</v>
      </c>
      <c r="T90" s="31">
        <f t="shared" si="72"/>
        <v>0</v>
      </c>
      <c r="U90" s="31">
        <f t="shared" si="73"/>
        <v>0</v>
      </c>
      <c r="V90" s="31">
        <f t="shared" si="74"/>
        <v>0</v>
      </c>
      <c r="W90" s="31">
        <f t="shared" si="77"/>
        <v>0</v>
      </c>
      <c r="X90" s="31">
        <f t="shared" si="47"/>
        <v>0</v>
      </c>
      <c r="Y90" s="31">
        <f t="shared" si="81"/>
        <v>0</v>
      </c>
      <c r="Z90" s="31">
        <f t="shared" si="81"/>
        <v>0</v>
      </c>
      <c r="AA90" s="31">
        <f t="shared" si="81"/>
        <v>0</v>
      </c>
      <c r="AB90" s="31">
        <f t="shared" si="81"/>
        <v>0</v>
      </c>
      <c r="AC90" s="31">
        <f t="shared" si="79"/>
        <v>0</v>
      </c>
      <c r="AD90" s="31">
        <f t="shared" si="75"/>
        <v>0</v>
      </c>
      <c r="AE90" s="31">
        <f t="shared" si="48"/>
        <v>0</v>
      </c>
      <c r="AF90" s="31">
        <f t="shared" si="80"/>
        <v>0</v>
      </c>
      <c r="AG90" s="31">
        <f t="shared" si="82"/>
        <v>0</v>
      </c>
      <c r="AH90" s="31">
        <f t="shared" si="82"/>
        <v>0</v>
      </c>
      <c r="AI90" s="31">
        <f t="shared" si="82"/>
        <v>0</v>
      </c>
      <c r="AJ90" s="31">
        <f t="shared" si="82"/>
        <v>0</v>
      </c>
      <c r="AK90" s="31">
        <f t="shared" si="82"/>
        <v>0</v>
      </c>
      <c r="AL90" s="31">
        <f t="shared" si="82"/>
        <v>0</v>
      </c>
      <c r="AM90" s="31">
        <f t="shared" si="82"/>
        <v>0</v>
      </c>
      <c r="AN90" s="31">
        <f t="shared" si="82"/>
        <v>0</v>
      </c>
      <c r="AO90" s="31">
        <f t="shared" si="82"/>
        <v>0</v>
      </c>
      <c r="AP90" s="31">
        <f t="shared" si="82"/>
        <v>0</v>
      </c>
      <c r="AQ90" s="31">
        <f t="shared" si="82"/>
        <v>0</v>
      </c>
      <c r="AR90" s="31">
        <f t="shared" si="82"/>
        <v>0</v>
      </c>
      <c r="AS90" s="31">
        <f t="shared" si="82"/>
        <v>0</v>
      </c>
      <c r="AT90" s="31">
        <f t="shared" si="82"/>
        <v>0</v>
      </c>
      <c r="AU90" s="31">
        <f t="shared" si="82"/>
        <v>0</v>
      </c>
      <c r="AW90" s="22">
        <f t="shared" si="50"/>
        <v>0</v>
      </c>
      <c r="AX90" s="22">
        <f t="shared" si="51"/>
        <v>0</v>
      </c>
      <c r="AY90" s="22">
        <f t="shared" si="52"/>
        <v>0</v>
      </c>
      <c r="AZ90" s="22">
        <f t="shared" si="53"/>
        <v>0</v>
      </c>
      <c r="BA90" s="22">
        <f t="shared" si="54"/>
        <v>0</v>
      </c>
      <c r="BB90" s="22">
        <f t="shared" si="55"/>
        <v>0</v>
      </c>
      <c r="BC90" s="22">
        <f t="shared" si="56"/>
        <v>0</v>
      </c>
      <c r="BD90" s="22">
        <f t="shared" si="57"/>
        <v>0</v>
      </c>
      <c r="BE90" s="22">
        <f t="shared" si="58"/>
        <v>0</v>
      </c>
      <c r="BF90" s="22">
        <f t="shared" si="59"/>
        <v>0</v>
      </c>
      <c r="BG90" s="22">
        <f t="shared" si="60"/>
        <v>0</v>
      </c>
      <c r="BH90" s="22">
        <f t="shared" si="61"/>
        <v>0</v>
      </c>
      <c r="BI90" s="22">
        <f t="shared" si="62"/>
        <v>0</v>
      </c>
      <c r="BJ90" s="22">
        <f t="shared" si="63"/>
        <v>0</v>
      </c>
      <c r="BK90" s="22">
        <f t="shared" si="64"/>
        <v>0</v>
      </c>
      <c r="BL90" s="22">
        <f t="shared" si="65"/>
        <v>0</v>
      </c>
      <c r="BM90" s="22" t="str">
        <f t="shared" si="66"/>
        <v>OK</v>
      </c>
    </row>
    <row r="91" spans="1:65">
      <c r="A91" s="29">
        <f>A90</f>
        <v>41107</v>
      </c>
      <c r="B91">
        <f>B90</f>
        <v>0</v>
      </c>
      <c r="C91" t="b">
        <f>VLOOKUP($B91,勤務形態オプション!$A$3:$D$10,C$6,FALSE)</f>
        <v>1</v>
      </c>
      <c r="D91" t="b">
        <f>VLOOKUP($B91,勤務形態オプション!$A$3:$D$10,D$6,FALSE)</f>
        <v>0</v>
      </c>
      <c r="E91" t="b">
        <f>VLOOKUP($B91,勤務形態オプション!$A$3:$D$10,E$6,FALSE)</f>
        <v>0</v>
      </c>
      <c r="F91" s="50">
        <f>F90</f>
        <v>0</v>
      </c>
      <c r="G91" s="50">
        <f>G90</f>
        <v>0</v>
      </c>
      <c r="H91" s="50">
        <f>H90</f>
        <v>0</v>
      </c>
      <c r="I91" s="50">
        <f>I90</f>
        <v>0</v>
      </c>
      <c r="J91" s="58">
        <v>2</v>
      </c>
      <c r="K91" s="50">
        <f>IF(命令簿!D92&lt;&gt;"",命令簿!D92,0)</f>
        <v>0</v>
      </c>
      <c r="L91" s="50">
        <f>IF(命令簿!G92&lt;&gt;"",命令簿!G92,IF(命令簿!F92&lt;&gt;"",命令簿!F92,0))</f>
        <v>0</v>
      </c>
      <c r="M91" s="50">
        <f>IF(命令簿!I92&lt;&gt;"",命令簿!I92,$L91)</f>
        <v>0</v>
      </c>
      <c r="N91" s="50">
        <f>IF(命令簿!I92&lt;&gt;"",命令簿!F92,L91)</f>
        <v>0</v>
      </c>
      <c r="O91" s="50">
        <f t="shared" si="76"/>
        <v>0</v>
      </c>
      <c r="P91" s="355"/>
      <c r="R91" s="31">
        <f t="shared" si="70"/>
        <v>0</v>
      </c>
      <c r="S91" s="31">
        <f t="shared" si="71"/>
        <v>0</v>
      </c>
      <c r="T91" s="31">
        <f t="shared" si="72"/>
        <v>0</v>
      </c>
      <c r="U91" s="31">
        <f t="shared" si="73"/>
        <v>0</v>
      </c>
      <c r="V91" s="31">
        <f t="shared" si="74"/>
        <v>0</v>
      </c>
      <c r="W91" s="31">
        <f t="shared" si="77"/>
        <v>0</v>
      </c>
      <c r="X91" s="31">
        <f t="shared" si="47"/>
        <v>0</v>
      </c>
      <c r="Y91" s="31">
        <f t="shared" si="81"/>
        <v>0</v>
      </c>
      <c r="Z91" s="31">
        <f t="shared" si="81"/>
        <v>0</v>
      </c>
      <c r="AA91" s="31">
        <f t="shared" si="81"/>
        <v>0</v>
      </c>
      <c r="AB91" s="31">
        <f t="shared" si="81"/>
        <v>0</v>
      </c>
      <c r="AC91" s="31">
        <f t="shared" si="79"/>
        <v>0</v>
      </c>
      <c r="AD91" s="31">
        <f t="shared" si="75"/>
        <v>0</v>
      </c>
      <c r="AE91" s="31">
        <f t="shared" si="48"/>
        <v>0</v>
      </c>
      <c r="AF91" s="31">
        <f t="shared" si="80"/>
        <v>0</v>
      </c>
      <c r="AG91" s="31">
        <f t="shared" si="82"/>
        <v>0</v>
      </c>
      <c r="AH91" s="31">
        <f t="shared" si="82"/>
        <v>0</v>
      </c>
      <c r="AI91" s="31">
        <f t="shared" si="82"/>
        <v>0</v>
      </c>
      <c r="AJ91" s="31">
        <f t="shared" si="82"/>
        <v>0</v>
      </c>
      <c r="AK91" s="31">
        <f t="shared" si="82"/>
        <v>0</v>
      </c>
      <c r="AL91" s="31">
        <f t="shared" si="82"/>
        <v>0</v>
      </c>
      <c r="AM91" s="31">
        <f t="shared" si="82"/>
        <v>0</v>
      </c>
      <c r="AN91" s="31">
        <f t="shared" si="82"/>
        <v>0</v>
      </c>
      <c r="AO91" s="31">
        <f t="shared" si="82"/>
        <v>0</v>
      </c>
      <c r="AP91" s="31">
        <f t="shared" si="82"/>
        <v>0</v>
      </c>
      <c r="AQ91" s="31">
        <f t="shared" si="82"/>
        <v>0</v>
      </c>
      <c r="AR91" s="31">
        <f t="shared" si="82"/>
        <v>0</v>
      </c>
      <c r="AS91" s="31">
        <f t="shared" si="82"/>
        <v>0</v>
      </c>
      <c r="AT91" s="31">
        <f t="shared" si="82"/>
        <v>0</v>
      </c>
      <c r="AU91" s="31">
        <f t="shared" si="82"/>
        <v>0</v>
      </c>
      <c r="AW91" s="22">
        <f t="shared" si="50"/>
        <v>0</v>
      </c>
      <c r="AX91" s="22">
        <f t="shared" si="51"/>
        <v>0</v>
      </c>
      <c r="AY91" s="22">
        <f t="shared" si="52"/>
        <v>0</v>
      </c>
      <c r="AZ91" s="22">
        <f t="shared" si="53"/>
        <v>0</v>
      </c>
      <c r="BA91" s="22">
        <f t="shared" si="54"/>
        <v>0</v>
      </c>
      <c r="BB91" s="22">
        <f t="shared" si="55"/>
        <v>0</v>
      </c>
      <c r="BC91" s="22">
        <f t="shared" si="56"/>
        <v>0</v>
      </c>
      <c r="BD91" s="22">
        <f t="shared" si="57"/>
        <v>0</v>
      </c>
      <c r="BE91" s="22">
        <f t="shared" si="58"/>
        <v>0</v>
      </c>
      <c r="BF91" s="22">
        <f t="shared" si="59"/>
        <v>0</v>
      </c>
      <c r="BG91" s="22">
        <f t="shared" si="60"/>
        <v>0</v>
      </c>
      <c r="BH91" s="22">
        <f t="shared" si="61"/>
        <v>0</v>
      </c>
      <c r="BI91" s="22">
        <f t="shared" si="62"/>
        <v>0</v>
      </c>
      <c r="BJ91" s="22">
        <f t="shared" si="63"/>
        <v>0</v>
      </c>
      <c r="BK91" s="22">
        <f t="shared" si="64"/>
        <v>0</v>
      </c>
      <c r="BL91" s="22">
        <f t="shared" si="65"/>
        <v>0</v>
      </c>
      <c r="BM91" s="22" t="str">
        <f t="shared" si="66"/>
        <v>OK</v>
      </c>
    </row>
    <row r="92" spans="1:65">
      <c r="A92" s="29">
        <f>A91</f>
        <v>41107</v>
      </c>
      <c r="B92">
        <f>B91</f>
        <v>0</v>
      </c>
      <c r="C92" t="b">
        <f>VLOOKUP($B92,勤務形態オプション!$A$3:$D$10,C$6,FALSE)</f>
        <v>1</v>
      </c>
      <c r="D92" t="b">
        <f>VLOOKUP($B92,勤務形態オプション!$A$3:$D$10,D$6,FALSE)</f>
        <v>0</v>
      </c>
      <c r="E92" t="b">
        <f>VLOOKUP($B92,勤務形態オプション!$A$3:$D$10,E$6,FALSE)</f>
        <v>0</v>
      </c>
      <c r="F92" s="50">
        <f>F90</f>
        <v>0</v>
      </c>
      <c r="G92" s="50">
        <f>G90</f>
        <v>0</v>
      </c>
      <c r="H92" s="50">
        <f>H90</f>
        <v>0</v>
      </c>
      <c r="I92" s="50">
        <f>I90</f>
        <v>0</v>
      </c>
      <c r="J92" s="58">
        <v>3</v>
      </c>
      <c r="K92" s="50">
        <f>IF(命令簿!D93&lt;&gt;"",命令簿!D93,0)</f>
        <v>0</v>
      </c>
      <c r="L92" s="50">
        <f>IF(命令簿!G93&lt;&gt;"",命令簿!G93,IF(命令簿!F93&lt;&gt;"",命令簿!F93,0))</f>
        <v>0</v>
      </c>
      <c r="M92" s="50">
        <f>IF(命令簿!I93&lt;&gt;"",命令簿!I93,$L92)</f>
        <v>0</v>
      </c>
      <c r="N92" s="50">
        <f>IF(命令簿!I93&lt;&gt;"",命令簿!F93,L92)</f>
        <v>0</v>
      </c>
      <c r="O92" s="50">
        <f t="shared" si="76"/>
        <v>0</v>
      </c>
      <c r="P92" s="355"/>
      <c r="R92" s="31">
        <f t="shared" si="70"/>
        <v>0</v>
      </c>
      <c r="S92" s="31">
        <f t="shared" si="71"/>
        <v>0</v>
      </c>
      <c r="T92" s="31">
        <f t="shared" si="72"/>
        <v>0</v>
      </c>
      <c r="U92" s="31">
        <f t="shared" si="73"/>
        <v>0</v>
      </c>
      <c r="V92" s="31">
        <f t="shared" si="74"/>
        <v>0</v>
      </c>
      <c r="W92" s="31">
        <f t="shared" si="77"/>
        <v>0</v>
      </c>
      <c r="X92" s="31">
        <f t="shared" si="47"/>
        <v>0</v>
      </c>
      <c r="Y92" s="31">
        <f t="shared" si="81"/>
        <v>0</v>
      </c>
      <c r="Z92" s="31">
        <f t="shared" si="81"/>
        <v>0</v>
      </c>
      <c r="AA92" s="31">
        <f t="shared" si="81"/>
        <v>0</v>
      </c>
      <c r="AB92" s="31">
        <f t="shared" si="81"/>
        <v>0</v>
      </c>
      <c r="AC92" s="31">
        <f t="shared" si="79"/>
        <v>0</v>
      </c>
      <c r="AD92" s="31">
        <f t="shared" si="75"/>
        <v>0</v>
      </c>
      <c r="AE92" s="31">
        <f t="shared" si="48"/>
        <v>0</v>
      </c>
      <c r="AF92" s="31">
        <f t="shared" si="80"/>
        <v>0</v>
      </c>
      <c r="AG92" s="31">
        <f t="shared" si="82"/>
        <v>0</v>
      </c>
      <c r="AH92" s="31">
        <f t="shared" si="82"/>
        <v>0</v>
      </c>
      <c r="AI92" s="31">
        <f t="shared" si="82"/>
        <v>0</v>
      </c>
      <c r="AJ92" s="31">
        <f t="shared" si="82"/>
        <v>0</v>
      </c>
      <c r="AK92" s="31">
        <f t="shared" si="82"/>
        <v>0</v>
      </c>
      <c r="AL92" s="31">
        <f t="shared" si="82"/>
        <v>0</v>
      </c>
      <c r="AM92" s="31">
        <f t="shared" si="82"/>
        <v>0</v>
      </c>
      <c r="AN92" s="31">
        <f t="shared" si="82"/>
        <v>0</v>
      </c>
      <c r="AO92" s="31">
        <f t="shared" si="82"/>
        <v>0</v>
      </c>
      <c r="AP92" s="31">
        <f t="shared" si="82"/>
        <v>0</v>
      </c>
      <c r="AQ92" s="31">
        <f t="shared" si="82"/>
        <v>0</v>
      </c>
      <c r="AR92" s="31">
        <f t="shared" si="82"/>
        <v>0</v>
      </c>
      <c r="AS92" s="31">
        <f t="shared" si="82"/>
        <v>0</v>
      </c>
      <c r="AT92" s="31">
        <f t="shared" si="82"/>
        <v>0</v>
      </c>
      <c r="AU92" s="31">
        <f t="shared" si="82"/>
        <v>0</v>
      </c>
      <c r="AW92" s="22">
        <f t="shared" si="50"/>
        <v>0</v>
      </c>
      <c r="AX92" s="22">
        <f t="shared" si="51"/>
        <v>0</v>
      </c>
      <c r="AY92" s="22">
        <f t="shared" si="52"/>
        <v>0</v>
      </c>
      <c r="AZ92" s="22">
        <f t="shared" si="53"/>
        <v>0</v>
      </c>
      <c r="BA92" s="22">
        <f t="shared" si="54"/>
        <v>0</v>
      </c>
      <c r="BB92" s="22">
        <f t="shared" si="55"/>
        <v>0</v>
      </c>
      <c r="BC92" s="22">
        <f t="shared" si="56"/>
        <v>0</v>
      </c>
      <c r="BD92" s="22">
        <f t="shared" si="57"/>
        <v>0</v>
      </c>
      <c r="BE92" s="22">
        <f t="shared" si="58"/>
        <v>0</v>
      </c>
      <c r="BF92" s="22">
        <f t="shared" si="59"/>
        <v>0</v>
      </c>
      <c r="BG92" s="22">
        <f t="shared" si="60"/>
        <v>0</v>
      </c>
      <c r="BH92" s="22">
        <f t="shared" si="61"/>
        <v>0</v>
      </c>
      <c r="BI92" s="22">
        <f t="shared" si="62"/>
        <v>0</v>
      </c>
      <c r="BJ92" s="22">
        <f t="shared" si="63"/>
        <v>0</v>
      </c>
      <c r="BK92" s="22">
        <f t="shared" si="64"/>
        <v>0</v>
      </c>
      <c r="BL92" s="22">
        <f t="shared" si="65"/>
        <v>0</v>
      </c>
      <c r="BM92" s="22" t="str">
        <f t="shared" si="66"/>
        <v>OK</v>
      </c>
    </row>
    <row r="93" spans="1:65">
      <c r="A93" s="29">
        <f>補助簿!B93</f>
        <v>41108</v>
      </c>
      <c r="B93" s="151">
        <f>命令簿!C96</f>
        <v>0</v>
      </c>
      <c r="C93" t="b">
        <f>VLOOKUP($B93,勤務形態オプション!$A$3:$D$10,C$6,FALSE)</f>
        <v>1</v>
      </c>
      <c r="D93" t="b">
        <f>VLOOKUP($B93,勤務形態オプション!$A$3:$D$10,D$6,FALSE)</f>
        <v>0</v>
      </c>
      <c r="E93" t="b">
        <f>VLOOKUP($B93,勤務形態オプション!$A$3:$D$10,E$6,FALSE)</f>
        <v>0</v>
      </c>
      <c r="F93" s="50">
        <f>補助簿!$E93</f>
        <v>0</v>
      </c>
      <c r="G93" s="50">
        <f>補助簿!$F93</f>
        <v>0</v>
      </c>
      <c r="H93" s="50">
        <f>補助簿!$C93</f>
        <v>0</v>
      </c>
      <c r="I93" s="50">
        <f>補助簿!$D93</f>
        <v>0</v>
      </c>
      <c r="J93" s="58">
        <v>1</v>
      </c>
      <c r="K93" s="50">
        <f>IF(命令簿!D94&lt;&gt;"",命令簿!D94,0)</f>
        <v>0</v>
      </c>
      <c r="L93" s="50">
        <f>IF(命令簿!G94&lt;&gt;"",命令簿!G94,IF(命令簿!F94&lt;&gt;"",命令簿!F94,0))</f>
        <v>0</v>
      </c>
      <c r="M93" s="50">
        <f>IF(命令簿!I94&lt;&gt;"",命令簿!I94,$L93)</f>
        <v>0</v>
      </c>
      <c r="N93" s="50">
        <f>IF(命令簿!I94&lt;&gt;"",命令簿!F94,L93)</f>
        <v>0</v>
      </c>
      <c r="O93" s="50">
        <f t="shared" si="76"/>
        <v>0</v>
      </c>
      <c r="P93" s="355">
        <f>SUM(O93:O95)</f>
        <v>0</v>
      </c>
      <c r="R93" s="31">
        <f t="shared" si="70"/>
        <v>0</v>
      </c>
      <c r="S93" s="31">
        <f t="shared" si="71"/>
        <v>0</v>
      </c>
      <c r="T93" s="31">
        <f t="shared" si="72"/>
        <v>0</v>
      </c>
      <c r="U93" s="31">
        <f t="shared" si="73"/>
        <v>0</v>
      </c>
      <c r="V93" s="31">
        <f t="shared" si="74"/>
        <v>0</v>
      </c>
      <c r="W93" s="31">
        <f t="shared" si="77"/>
        <v>0</v>
      </c>
      <c r="X93" s="31">
        <f t="shared" si="47"/>
        <v>0</v>
      </c>
      <c r="Y93" s="31">
        <f t="shared" si="81"/>
        <v>0</v>
      </c>
      <c r="Z93" s="31">
        <f t="shared" si="81"/>
        <v>0</v>
      </c>
      <c r="AA93" s="31">
        <f t="shared" si="81"/>
        <v>0</v>
      </c>
      <c r="AB93" s="31">
        <f t="shared" si="81"/>
        <v>0</v>
      </c>
      <c r="AC93" s="31">
        <f t="shared" si="79"/>
        <v>0</v>
      </c>
      <c r="AD93" s="31">
        <f t="shared" si="75"/>
        <v>0</v>
      </c>
      <c r="AE93" s="31">
        <f t="shared" si="48"/>
        <v>0</v>
      </c>
      <c r="AF93" s="31">
        <f t="shared" si="80"/>
        <v>0</v>
      </c>
      <c r="AG93" s="31">
        <f t="shared" si="82"/>
        <v>0</v>
      </c>
      <c r="AH93" s="31">
        <f t="shared" si="82"/>
        <v>0</v>
      </c>
      <c r="AI93" s="31">
        <f t="shared" si="82"/>
        <v>0</v>
      </c>
      <c r="AJ93" s="31">
        <f t="shared" si="82"/>
        <v>0</v>
      </c>
      <c r="AK93" s="31">
        <f t="shared" si="82"/>
        <v>0</v>
      </c>
      <c r="AL93" s="31">
        <f t="shared" si="82"/>
        <v>0</v>
      </c>
      <c r="AM93" s="31">
        <f t="shared" si="82"/>
        <v>0</v>
      </c>
      <c r="AN93" s="31">
        <f t="shared" si="82"/>
        <v>0</v>
      </c>
      <c r="AO93" s="31">
        <f t="shared" si="82"/>
        <v>0</v>
      </c>
      <c r="AP93" s="31">
        <f t="shared" si="82"/>
        <v>0</v>
      </c>
      <c r="AQ93" s="31">
        <f t="shared" si="82"/>
        <v>0</v>
      </c>
      <c r="AR93" s="31">
        <f t="shared" si="82"/>
        <v>0</v>
      </c>
      <c r="AS93" s="31">
        <f t="shared" si="82"/>
        <v>0</v>
      </c>
      <c r="AT93" s="31">
        <f t="shared" si="82"/>
        <v>0</v>
      </c>
      <c r="AU93" s="31">
        <f t="shared" si="82"/>
        <v>0</v>
      </c>
      <c r="AW93" s="22">
        <f t="shared" si="50"/>
        <v>0</v>
      </c>
      <c r="AX93" s="22">
        <f t="shared" si="51"/>
        <v>0</v>
      </c>
      <c r="AY93" s="22">
        <f t="shared" si="52"/>
        <v>0</v>
      </c>
      <c r="AZ93" s="22">
        <f t="shared" si="53"/>
        <v>0</v>
      </c>
      <c r="BA93" s="22">
        <f t="shared" si="54"/>
        <v>0</v>
      </c>
      <c r="BB93" s="22">
        <f t="shared" si="55"/>
        <v>0</v>
      </c>
      <c r="BC93" s="22">
        <f t="shared" si="56"/>
        <v>0</v>
      </c>
      <c r="BD93" s="22">
        <f t="shared" si="57"/>
        <v>0</v>
      </c>
      <c r="BE93" s="22">
        <f t="shared" si="58"/>
        <v>0</v>
      </c>
      <c r="BF93" s="22">
        <f t="shared" si="59"/>
        <v>0</v>
      </c>
      <c r="BG93" s="22">
        <f t="shared" si="60"/>
        <v>0</v>
      </c>
      <c r="BH93" s="22">
        <f t="shared" si="61"/>
        <v>0</v>
      </c>
      <c r="BI93" s="22">
        <f t="shared" si="62"/>
        <v>0</v>
      </c>
      <c r="BJ93" s="22">
        <f t="shared" si="63"/>
        <v>0</v>
      </c>
      <c r="BK93" s="22">
        <f t="shared" si="64"/>
        <v>0</v>
      </c>
      <c r="BL93" s="22">
        <f t="shared" si="65"/>
        <v>0</v>
      </c>
      <c r="BM93" s="22" t="str">
        <f t="shared" si="66"/>
        <v>OK</v>
      </c>
    </row>
    <row r="94" spans="1:65">
      <c r="A94" s="29">
        <f>A93</f>
        <v>41108</v>
      </c>
      <c r="B94">
        <f>B93</f>
        <v>0</v>
      </c>
      <c r="C94" t="b">
        <f>VLOOKUP($B94,勤務形態オプション!$A$3:$D$10,C$6,FALSE)</f>
        <v>1</v>
      </c>
      <c r="D94" t="b">
        <f>VLOOKUP($B94,勤務形態オプション!$A$3:$D$10,D$6,FALSE)</f>
        <v>0</v>
      </c>
      <c r="E94" t="b">
        <f>VLOOKUP($B94,勤務形態オプション!$A$3:$D$10,E$6,FALSE)</f>
        <v>0</v>
      </c>
      <c r="F94" s="50">
        <f>F93</f>
        <v>0</v>
      </c>
      <c r="G94" s="50">
        <f>G93</f>
        <v>0</v>
      </c>
      <c r="H94" s="50">
        <f>H93</f>
        <v>0</v>
      </c>
      <c r="I94" s="50">
        <f>I93</f>
        <v>0</v>
      </c>
      <c r="J94" s="58">
        <v>2</v>
      </c>
      <c r="K94" s="50">
        <f>IF(命令簿!D95&lt;&gt;"",命令簿!D95,0)</f>
        <v>0</v>
      </c>
      <c r="L94" s="50">
        <f>IF(命令簿!G95&lt;&gt;"",命令簿!G95,IF(命令簿!F95&lt;&gt;"",命令簿!F95,0))</f>
        <v>0</v>
      </c>
      <c r="M94" s="50">
        <f>IF(命令簿!I95&lt;&gt;"",命令簿!I95,$L94)</f>
        <v>0</v>
      </c>
      <c r="N94" s="50">
        <f>IF(命令簿!I95&lt;&gt;"",命令簿!F95,L94)</f>
        <v>0</v>
      </c>
      <c r="O94" s="50">
        <f t="shared" si="76"/>
        <v>0</v>
      </c>
      <c r="P94" s="355"/>
      <c r="R94" s="31">
        <f t="shared" si="70"/>
        <v>0</v>
      </c>
      <c r="S94" s="31">
        <f t="shared" si="71"/>
        <v>0</v>
      </c>
      <c r="T94" s="31">
        <f t="shared" si="72"/>
        <v>0</v>
      </c>
      <c r="U94" s="31">
        <f t="shared" si="73"/>
        <v>0</v>
      </c>
      <c r="V94" s="31">
        <f t="shared" si="74"/>
        <v>0</v>
      </c>
      <c r="W94" s="31">
        <f t="shared" si="77"/>
        <v>0</v>
      </c>
      <c r="X94" s="31">
        <f t="shared" si="47"/>
        <v>0</v>
      </c>
      <c r="Y94" s="31">
        <f t="shared" si="81"/>
        <v>0</v>
      </c>
      <c r="Z94" s="31">
        <f t="shared" si="81"/>
        <v>0</v>
      </c>
      <c r="AA94" s="31">
        <f t="shared" si="81"/>
        <v>0</v>
      </c>
      <c r="AB94" s="31">
        <f t="shared" si="81"/>
        <v>0</v>
      </c>
      <c r="AC94" s="31">
        <f t="shared" si="79"/>
        <v>0</v>
      </c>
      <c r="AD94" s="31">
        <f t="shared" si="75"/>
        <v>0</v>
      </c>
      <c r="AE94" s="31">
        <f t="shared" si="48"/>
        <v>0</v>
      </c>
      <c r="AF94" s="31">
        <f t="shared" si="80"/>
        <v>0</v>
      </c>
      <c r="AG94" s="31">
        <f t="shared" si="82"/>
        <v>0</v>
      </c>
      <c r="AH94" s="31">
        <f t="shared" si="82"/>
        <v>0</v>
      </c>
      <c r="AI94" s="31">
        <f t="shared" si="82"/>
        <v>0</v>
      </c>
      <c r="AJ94" s="31">
        <f t="shared" si="82"/>
        <v>0</v>
      </c>
      <c r="AK94" s="31">
        <f t="shared" si="82"/>
        <v>0</v>
      </c>
      <c r="AL94" s="31">
        <f t="shared" si="82"/>
        <v>0</v>
      </c>
      <c r="AM94" s="31">
        <f t="shared" si="82"/>
        <v>0</v>
      </c>
      <c r="AN94" s="31">
        <f t="shared" si="82"/>
        <v>0</v>
      </c>
      <c r="AO94" s="31">
        <f t="shared" si="82"/>
        <v>0</v>
      </c>
      <c r="AP94" s="31">
        <f t="shared" si="82"/>
        <v>0</v>
      </c>
      <c r="AQ94" s="31">
        <f t="shared" si="82"/>
        <v>0</v>
      </c>
      <c r="AR94" s="31">
        <f t="shared" si="82"/>
        <v>0</v>
      </c>
      <c r="AS94" s="31">
        <f t="shared" si="82"/>
        <v>0</v>
      </c>
      <c r="AT94" s="31">
        <f t="shared" si="82"/>
        <v>0</v>
      </c>
      <c r="AU94" s="31">
        <f t="shared" si="82"/>
        <v>0</v>
      </c>
      <c r="AW94" s="22">
        <f t="shared" si="50"/>
        <v>0</v>
      </c>
      <c r="AX94" s="22">
        <f t="shared" si="51"/>
        <v>0</v>
      </c>
      <c r="AY94" s="22">
        <f t="shared" si="52"/>
        <v>0</v>
      </c>
      <c r="AZ94" s="22">
        <f t="shared" si="53"/>
        <v>0</v>
      </c>
      <c r="BA94" s="22">
        <f t="shared" si="54"/>
        <v>0</v>
      </c>
      <c r="BB94" s="22">
        <f t="shared" si="55"/>
        <v>0</v>
      </c>
      <c r="BC94" s="22">
        <f t="shared" si="56"/>
        <v>0</v>
      </c>
      <c r="BD94" s="22">
        <f t="shared" si="57"/>
        <v>0</v>
      </c>
      <c r="BE94" s="22">
        <f t="shared" si="58"/>
        <v>0</v>
      </c>
      <c r="BF94" s="22">
        <f t="shared" si="59"/>
        <v>0</v>
      </c>
      <c r="BG94" s="22">
        <f t="shared" si="60"/>
        <v>0</v>
      </c>
      <c r="BH94" s="22">
        <f t="shared" si="61"/>
        <v>0</v>
      </c>
      <c r="BI94" s="22">
        <f t="shared" si="62"/>
        <v>0</v>
      </c>
      <c r="BJ94" s="22">
        <f t="shared" si="63"/>
        <v>0</v>
      </c>
      <c r="BK94" s="22">
        <f t="shared" si="64"/>
        <v>0</v>
      </c>
      <c r="BL94" s="22">
        <f t="shared" si="65"/>
        <v>0</v>
      </c>
      <c r="BM94" s="22" t="str">
        <f t="shared" si="66"/>
        <v>OK</v>
      </c>
    </row>
    <row r="95" spans="1:65">
      <c r="A95" s="29">
        <f>A94</f>
        <v>41108</v>
      </c>
      <c r="B95">
        <f>B94</f>
        <v>0</v>
      </c>
      <c r="C95" t="b">
        <f>VLOOKUP($B95,勤務形態オプション!$A$3:$D$10,C$6,FALSE)</f>
        <v>1</v>
      </c>
      <c r="D95" t="b">
        <f>VLOOKUP($B95,勤務形態オプション!$A$3:$D$10,D$6,FALSE)</f>
        <v>0</v>
      </c>
      <c r="E95" t="b">
        <f>VLOOKUP($B95,勤務形態オプション!$A$3:$D$10,E$6,FALSE)</f>
        <v>0</v>
      </c>
      <c r="F95" s="50">
        <f>F93</f>
        <v>0</v>
      </c>
      <c r="G95" s="50">
        <f>G93</f>
        <v>0</v>
      </c>
      <c r="H95" s="50">
        <f>H93</f>
        <v>0</v>
      </c>
      <c r="I95" s="50">
        <f>I93</f>
        <v>0</v>
      </c>
      <c r="J95" s="58">
        <v>3</v>
      </c>
      <c r="K95" s="50">
        <f>IF(命令簿!D96&lt;&gt;"",命令簿!D96,0)</f>
        <v>0</v>
      </c>
      <c r="L95" s="50">
        <f>IF(命令簿!G96&lt;&gt;"",命令簿!G96,IF(命令簿!F96&lt;&gt;"",命令簿!F96,0))</f>
        <v>0</v>
      </c>
      <c r="M95" s="50">
        <f>IF(命令簿!I96&lt;&gt;"",命令簿!I96,$L95)</f>
        <v>0</v>
      </c>
      <c r="N95" s="50">
        <f>IF(命令簿!I96&lt;&gt;"",命令簿!F96,L95)</f>
        <v>0</v>
      </c>
      <c r="O95" s="50">
        <f t="shared" si="76"/>
        <v>0</v>
      </c>
      <c r="P95" s="355"/>
      <c r="R95" s="31">
        <f t="shared" si="70"/>
        <v>0</v>
      </c>
      <c r="S95" s="31">
        <f t="shared" si="71"/>
        <v>0</v>
      </c>
      <c r="T95" s="31">
        <f t="shared" si="72"/>
        <v>0</v>
      </c>
      <c r="U95" s="31">
        <f t="shared" si="73"/>
        <v>0</v>
      </c>
      <c r="V95" s="31">
        <f t="shared" si="74"/>
        <v>0</v>
      </c>
      <c r="W95" s="31">
        <f t="shared" si="77"/>
        <v>0</v>
      </c>
      <c r="X95" s="31">
        <f t="shared" si="47"/>
        <v>0</v>
      </c>
      <c r="Y95" s="31">
        <f t="shared" si="81"/>
        <v>0</v>
      </c>
      <c r="Z95" s="31">
        <f t="shared" si="81"/>
        <v>0</v>
      </c>
      <c r="AA95" s="31">
        <f t="shared" si="81"/>
        <v>0</v>
      </c>
      <c r="AB95" s="31">
        <f t="shared" si="81"/>
        <v>0</v>
      </c>
      <c r="AC95" s="31">
        <f t="shared" si="79"/>
        <v>0</v>
      </c>
      <c r="AD95" s="31">
        <f t="shared" si="75"/>
        <v>0</v>
      </c>
      <c r="AE95" s="31">
        <f t="shared" si="48"/>
        <v>0</v>
      </c>
      <c r="AF95" s="31">
        <f t="shared" si="80"/>
        <v>0</v>
      </c>
      <c r="AG95" s="31">
        <f t="shared" si="82"/>
        <v>0</v>
      </c>
      <c r="AH95" s="31">
        <f t="shared" si="82"/>
        <v>0</v>
      </c>
      <c r="AI95" s="31">
        <f t="shared" si="82"/>
        <v>0</v>
      </c>
      <c r="AJ95" s="31">
        <f t="shared" si="82"/>
        <v>0</v>
      </c>
      <c r="AK95" s="31">
        <f t="shared" si="82"/>
        <v>0</v>
      </c>
      <c r="AL95" s="31">
        <f t="shared" si="82"/>
        <v>0</v>
      </c>
      <c r="AM95" s="31">
        <f t="shared" si="82"/>
        <v>0</v>
      </c>
      <c r="AN95" s="31">
        <f t="shared" si="82"/>
        <v>0</v>
      </c>
      <c r="AO95" s="31">
        <f t="shared" si="82"/>
        <v>0</v>
      </c>
      <c r="AP95" s="31">
        <f t="shared" si="82"/>
        <v>0</v>
      </c>
      <c r="AQ95" s="31">
        <f t="shared" si="82"/>
        <v>0</v>
      </c>
      <c r="AR95" s="31">
        <f t="shared" si="82"/>
        <v>0</v>
      </c>
      <c r="AS95" s="31">
        <f t="shared" si="82"/>
        <v>0</v>
      </c>
      <c r="AT95" s="31">
        <f t="shared" si="82"/>
        <v>0</v>
      </c>
      <c r="AU95" s="31">
        <f t="shared" si="82"/>
        <v>0</v>
      </c>
      <c r="AW95" s="22">
        <f t="shared" si="50"/>
        <v>0</v>
      </c>
      <c r="AX95" s="22">
        <f t="shared" si="51"/>
        <v>0</v>
      </c>
      <c r="AY95" s="22">
        <f t="shared" si="52"/>
        <v>0</v>
      </c>
      <c r="AZ95" s="22">
        <f t="shared" si="53"/>
        <v>0</v>
      </c>
      <c r="BA95" s="22">
        <f t="shared" si="54"/>
        <v>0</v>
      </c>
      <c r="BB95" s="22">
        <f t="shared" si="55"/>
        <v>0</v>
      </c>
      <c r="BC95" s="22">
        <f t="shared" si="56"/>
        <v>0</v>
      </c>
      <c r="BD95" s="22">
        <f t="shared" si="57"/>
        <v>0</v>
      </c>
      <c r="BE95" s="22">
        <f t="shared" si="58"/>
        <v>0</v>
      </c>
      <c r="BF95" s="22">
        <f t="shared" si="59"/>
        <v>0</v>
      </c>
      <c r="BG95" s="22">
        <f t="shared" si="60"/>
        <v>0</v>
      </c>
      <c r="BH95" s="22">
        <f t="shared" si="61"/>
        <v>0</v>
      </c>
      <c r="BI95" s="22">
        <f t="shared" si="62"/>
        <v>0</v>
      </c>
      <c r="BJ95" s="22">
        <f t="shared" si="63"/>
        <v>0</v>
      </c>
      <c r="BK95" s="22">
        <f t="shared" si="64"/>
        <v>0</v>
      </c>
      <c r="BL95" s="22">
        <f t="shared" si="65"/>
        <v>0</v>
      </c>
      <c r="BM95" s="22" t="str">
        <f t="shared" si="66"/>
        <v>OK</v>
      </c>
    </row>
    <row r="96" spans="1:65">
      <c r="A96" s="29">
        <f>補助簿!B96</f>
        <v>41109</v>
      </c>
      <c r="B96" s="150">
        <f>命令簿!C99</f>
        <v>0</v>
      </c>
      <c r="C96" t="b">
        <f>VLOOKUP($B96,勤務形態オプション!$A$3:$D$10,C$6,FALSE)</f>
        <v>1</v>
      </c>
      <c r="D96" t="b">
        <f>VLOOKUP($B96,勤務形態オプション!$A$3:$D$10,D$6,FALSE)</f>
        <v>0</v>
      </c>
      <c r="E96" t="b">
        <f>VLOOKUP($B96,勤務形態オプション!$A$3:$D$10,E$6,FALSE)</f>
        <v>0</v>
      </c>
      <c r="F96" s="50">
        <f>補助簿!$E96</f>
        <v>0</v>
      </c>
      <c r="G96" s="50">
        <f>補助簿!$F96</f>
        <v>0</v>
      </c>
      <c r="H96" s="50">
        <f>補助簿!$C96</f>
        <v>0</v>
      </c>
      <c r="I96" s="50">
        <f>補助簿!$D96</f>
        <v>0</v>
      </c>
      <c r="J96" s="58">
        <v>1</v>
      </c>
      <c r="K96" s="50">
        <f>IF(命令簿!D97&lt;&gt;"",命令簿!D97,0)</f>
        <v>0</v>
      </c>
      <c r="L96" s="50">
        <f>IF(命令簿!G97&lt;&gt;"",命令簿!G97,IF(命令簿!F97&lt;&gt;"",命令簿!F97,0))</f>
        <v>0</v>
      </c>
      <c r="M96" s="50">
        <f>IF(命令簿!I97&lt;&gt;"",命令簿!I97,$L96)</f>
        <v>0</v>
      </c>
      <c r="N96" s="50">
        <f>IF(命令簿!I97&lt;&gt;"",命令簿!F97,L96)</f>
        <v>0</v>
      </c>
      <c r="O96" s="50">
        <f t="shared" si="76"/>
        <v>0</v>
      </c>
      <c r="P96" s="355">
        <f>SUM(O96:O98)</f>
        <v>0</v>
      </c>
      <c r="R96" s="31">
        <f t="shared" si="70"/>
        <v>0</v>
      </c>
      <c r="S96" s="31">
        <f t="shared" si="71"/>
        <v>0</v>
      </c>
      <c r="T96" s="31">
        <f t="shared" si="72"/>
        <v>0</v>
      </c>
      <c r="U96" s="31">
        <f t="shared" si="73"/>
        <v>0</v>
      </c>
      <c r="V96" s="31">
        <f t="shared" si="74"/>
        <v>0</v>
      </c>
      <c r="W96" s="31">
        <f t="shared" si="77"/>
        <v>0</v>
      </c>
      <c r="X96" s="31">
        <f t="shared" si="47"/>
        <v>0</v>
      </c>
      <c r="Y96" s="31">
        <f t="shared" si="81"/>
        <v>0</v>
      </c>
      <c r="Z96" s="31">
        <f t="shared" si="81"/>
        <v>0</v>
      </c>
      <c r="AA96" s="31">
        <f t="shared" si="81"/>
        <v>0</v>
      </c>
      <c r="AB96" s="31">
        <f t="shared" si="81"/>
        <v>0</v>
      </c>
      <c r="AC96" s="31">
        <f t="shared" si="79"/>
        <v>0</v>
      </c>
      <c r="AD96" s="31">
        <f t="shared" si="75"/>
        <v>0</v>
      </c>
      <c r="AE96" s="31">
        <f t="shared" si="48"/>
        <v>0</v>
      </c>
      <c r="AF96" s="31">
        <f t="shared" si="80"/>
        <v>0</v>
      </c>
      <c r="AG96" s="31">
        <f t="shared" si="82"/>
        <v>0</v>
      </c>
      <c r="AH96" s="31">
        <f t="shared" si="82"/>
        <v>0</v>
      </c>
      <c r="AI96" s="31">
        <f t="shared" si="82"/>
        <v>0</v>
      </c>
      <c r="AJ96" s="31">
        <f t="shared" si="82"/>
        <v>0</v>
      </c>
      <c r="AK96" s="31">
        <f t="shared" si="82"/>
        <v>0</v>
      </c>
      <c r="AL96" s="31">
        <f t="shared" si="82"/>
        <v>0</v>
      </c>
      <c r="AM96" s="31">
        <f t="shared" si="82"/>
        <v>0</v>
      </c>
      <c r="AN96" s="31">
        <f t="shared" si="82"/>
        <v>0</v>
      </c>
      <c r="AO96" s="31">
        <f t="shared" si="82"/>
        <v>0</v>
      </c>
      <c r="AP96" s="31">
        <f t="shared" si="82"/>
        <v>0</v>
      </c>
      <c r="AQ96" s="31">
        <f t="shared" si="82"/>
        <v>0</v>
      </c>
      <c r="AR96" s="31">
        <f t="shared" si="82"/>
        <v>0</v>
      </c>
      <c r="AS96" s="31">
        <f t="shared" si="82"/>
        <v>0</v>
      </c>
      <c r="AT96" s="31">
        <f t="shared" si="82"/>
        <v>0</v>
      </c>
      <c r="AU96" s="31">
        <f t="shared" si="82"/>
        <v>0</v>
      </c>
      <c r="AW96" s="22">
        <f t="shared" si="50"/>
        <v>0</v>
      </c>
      <c r="AX96" s="22">
        <f t="shared" si="51"/>
        <v>0</v>
      </c>
      <c r="AY96" s="22">
        <f t="shared" si="52"/>
        <v>0</v>
      </c>
      <c r="AZ96" s="22">
        <f t="shared" si="53"/>
        <v>0</v>
      </c>
      <c r="BA96" s="22">
        <f t="shared" si="54"/>
        <v>0</v>
      </c>
      <c r="BB96" s="22">
        <f t="shared" si="55"/>
        <v>0</v>
      </c>
      <c r="BC96" s="22">
        <f t="shared" si="56"/>
        <v>0</v>
      </c>
      <c r="BD96" s="22">
        <f t="shared" si="57"/>
        <v>0</v>
      </c>
      <c r="BE96" s="22">
        <f t="shared" si="58"/>
        <v>0</v>
      </c>
      <c r="BF96" s="22">
        <f t="shared" si="59"/>
        <v>0</v>
      </c>
      <c r="BG96" s="22">
        <f t="shared" si="60"/>
        <v>0</v>
      </c>
      <c r="BH96" s="22">
        <f t="shared" si="61"/>
        <v>0</v>
      </c>
      <c r="BI96" s="22">
        <f t="shared" si="62"/>
        <v>0</v>
      </c>
      <c r="BJ96" s="22">
        <f t="shared" si="63"/>
        <v>0</v>
      </c>
      <c r="BK96" s="22">
        <f t="shared" si="64"/>
        <v>0</v>
      </c>
      <c r="BL96" s="22">
        <f t="shared" si="65"/>
        <v>0</v>
      </c>
      <c r="BM96" s="22" t="str">
        <f t="shared" si="66"/>
        <v>OK</v>
      </c>
    </row>
    <row r="97" spans="1:65">
      <c r="A97" s="29">
        <f>A96</f>
        <v>41109</v>
      </c>
      <c r="B97">
        <f>B96</f>
        <v>0</v>
      </c>
      <c r="C97" t="b">
        <f>VLOOKUP($B97,勤務形態オプション!$A$3:$D$10,C$6,FALSE)</f>
        <v>1</v>
      </c>
      <c r="D97" t="b">
        <f>VLOOKUP($B97,勤務形態オプション!$A$3:$D$10,D$6,FALSE)</f>
        <v>0</v>
      </c>
      <c r="E97" t="b">
        <f>VLOOKUP($B97,勤務形態オプション!$A$3:$D$10,E$6,FALSE)</f>
        <v>0</v>
      </c>
      <c r="F97" s="50">
        <f>F96</f>
        <v>0</v>
      </c>
      <c r="G97" s="50">
        <f>G96</f>
        <v>0</v>
      </c>
      <c r="H97" s="50">
        <f>H96</f>
        <v>0</v>
      </c>
      <c r="I97" s="50">
        <f>I96</f>
        <v>0</v>
      </c>
      <c r="J97" s="58">
        <v>2</v>
      </c>
      <c r="K97" s="50">
        <f>IF(命令簿!D98&lt;&gt;"",命令簿!D98,0)</f>
        <v>0</v>
      </c>
      <c r="L97" s="50">
        <f>IF(命令簿!G98&lt;&gt;"",命令簿!G98,IF(命令簿!F98&lt;&gt;"",命令簿!F98,0))</f>
        <v>0</v>
      </c>
      <c r="M97" s="50">
        <f>IF(命令簿!I98&lt;&gt;"",命令簿!I98,$L97)</f>
        <v>0</v>
      </c>
      <c r="N97" s="50">
        <f>IF(命令簿!I98&lt;&gt;"",命令簿!F98,L97)</f>
        <v>0</v>
      </c>
      <c r="O97" s="50">
        <f t="shared" si="76"/>
        <v>0</v>
      </c>
      <c r="P97" s="355"/>
      <c r="R97" s="31">
        <f t="shared" si="70"/>
        <v>0</v>
      </c>
      <c r="S97" s="31">
        <f t="shared" si="71"/>
        <v>0</v>
      </c>
      <c r="T97" s="31">
        <f t="shared" si="72"/>
        <v>0</v>
      </c>
      <c r="U97" s="31">
        <f t="shared" si="73"/>
        <v>0</v>
      </c>
      <c r="V97" s="31">
        <f t="shared" si="74"/>
        <v>0</v>
      </c>
      <c r="W97" s="31">
        <f t="shared" si="77"/>
        <v>0</v>
      </c>
      <c r="X97" s="31">
        <f t="shared" si="47"/>
        <v>0</v>
      </c>
      <c r="Y97" s="31">
        <f t="shared" si="81"/>
        <v>0</v>
      </c>
      <c r="Z97" s="31">
        <f t="shared" si="81"/>
        <v>0</v>
      </c>
      <c r="AA97" s="31">
        <f t="shared" si="81"/>
        <v>0</v>
      </c>
      <c r="AB97" s="31">
        <f t="shared" si="81"/>
        <v>0</v>
      </c>
      <c r="AC97" s="31">
        <f t="shared" si="79"/>
        <v>0</v>
      </c>
      <c r="AD97" s="31">
        <f t="shared" si="75"/>
        <v>0</v>
      </c>
      <c r="AE97" s="31">
        <f t="shared" si="48"/>
        <v>0</v>
      </c>
      <c r="AF97" s="31">
        <f t="shared" si="80"/>
        <v>0</v>
      </c>
      <c r="AG97" s="31">
        <f t="shared" si="82"/>
        <v>0</v>
      </c>
      <c r="AH97" s="31">
        <f t="shared" si="82"/>
        <v>0</v>
      </c>
      <c r="AI97" s="31">
        <f t="shared" si="82"/>
        <v>0</v>
      </c>
      <c r="AJ97" s="31">
        <f t="shared" si="82"/>
        <v>0</v>
      </c>
      <c r="AK97" s="31">
        <f t="shared" si="82"/>
        <v>0</v>
      </c>
      <c r="AL97" s="31">
        <f t="shared" si="82"/>
        <v>0</v>
      </c>
      <c r="AM97" s="31">
        <f t="shared" si="82"/>
        <v>0</v>
      </c>
      <c r="AN97" s="31">
        <f t="shared" si="82"/>
        <v>0</v>
      </c>
      <c r="AO97" s="31">
        <f t="shared" si="82"/>
        <v>0</v>
      </c>
      <c r="AP97" s="31">
        <f t="shared" si="82"/>
        <v>0</v>
      </c>
      <c r="AQ97" s="31">
        <f t="shared" si="82"/>
        <v>0</v>
      </c>
      <c r="AR97" s="31">
        <f t="shared" si="82"/>
        <v>0</v>
      </c>
      <c r="AS97" s="31">
        <f t="shared" si="82"/>
        <v>0</v>
      </c>
      <c r="AT97" s="31">
        <f t="shared" si="82"/>
        <v>0</v>
      </c>
      <c r="AU97" s="31">
        <f t="shared" si="82"/>
        <v>0</v>
      </c>
      <c r="AW97" s="22">
        <f t="shared" si="50"/>
        <v>0</v>
      </c>
      <c r="AX97" s="22">
        <f t="shared" si="51"/>
        <v>0</v>
      </c>
      <c r="AY97" s="22">
        <f t="shared" si="52"/>
        <v>0</v>
      </c>
      <c r="AZ97" s="22">
        <f t="shared" si="53"/>
        <v>0</v>
      </c>
      <c r="BA97" s="22">
        <f t="shared" si="54"/>
        <v>0</v>
      </c>
      <c r="BB97" s="22">
        <f t="shared" si="55"/>
        <v>0</v>
      </c>
      <c r="BC97" s="22">
        <f t="shared" si="56"/>
        <v>0</v>
      </c>
      <c r="BD97" s="22">
        <f t="shared" si="57"/>
        <v>0</v>
      </c>
      <c r="BE97" s="22">
        <f t="shared" si="58"/>
        <v>0</v>
      </c>
      <c r="BF97" s="22">
        <f t="shared" si="59"/>
        <v>0</v>
      </c>
      <c r="BG97" s="22">
        <f t="shared" si="60"/>
        <v>0</v>
      </c>
      <c r="BH97" s="22">
        <f t="shared" si="61"/>
        <v>0</v>
      </c>
      <c r="BI97" s="22">
        <f t="shared" si="62"/>
        <v>0</v>
      </c>
      <c r="BJ97" s="22">
        <f t="shared" si="63"/>
        <v>0</v>
      </c>
      <c r="BK97" s="22">
        <f t="shared" si="64"/>
        <v>0</v>
      </c>
      <c r="BL97" s="22">
        <f t="shared" si="65"/>
        <v>0</v>
      </c>
      <c r="BM97" s="22" t="str">
        <f t="shared" si="66"/>
        <v>OK</v>
      </c>
    </row>
    <row r="98" spans="1:65">
      <c r="A98" s="29">
        <f>A97</f>
        <v>41109</v>
      </c>
      <c r="B98">
        <f>B97</f>
        <v>0</v>
      </c>
      <c r="C98" t="b">
        <f>VLOOKUP($B98,勤務形態オプション!$A$3:$D$10,C$6,FALSE)</f>
        <v>1</v>
      </c>
      <c r="D98" t="b">
        <f>VLOOKUP($B98,勤務形態オプション!$A$3:$D$10,D$6,FALSE)</f>
        <v>0</v>
      </c>
      <c r="E98" t="b">
        <f>VLOOKUP($B98,勤務形態オプション!$A$3:$D$10,E$6,FALSE)</f>
        <v>0</v>
      </c>
      <c r="F98" s="50">
        <f>F96</f>
        <v>0</v>
      </c>
      <c r="G98" s="50">
        <f>G96</f>
        <v>0</v>
      </c>
      <c r="H98" s="50">
        <f>H96</f>
        <v>0</v>
      </c>
      <c r="I98" s="50">
        <f>I96</f>
        <v>0</v>
      </c>
      <c r="J98" s="58">
        <v>3</v>
      </c>
      <c r="K98" s="50">
        <f>IF(命令簿!D99&lt;&gt;"",命令簿!D99,0)</f>
        <v>0</v>
      </c>
      <c r="L98" s="50">
        <f>IF(命令簿!G99&lt;&gt;"",命令簿!G99,IF(命令簿!F99&lt;&gt;"",命令簿!F99,0))</f>
        <v>0</v>
      </c>
      <c r="M98" s="50">
        <f>IF(命令簿!I99&lt;&gt;"",命令簿!I99,$L98)</f>
        <v>0</v>
      </c>
      <c r="N98" s="50">
        <f>IF(命令簿!I99&lt;&gt;"",命令簿!F99,L98)</f>
        <v>0</v>
      </c>
      <c r="O98" s="50">
        <f t="shared" si="76"/>
        <v>0</v>
      </c>
      <c r="P98" s="355"/>
      <c r="R98" s="31">
        <f t="shared" si="70"/>
        <v>0</v>
      </c>
      <c r="S98" s="31">
        <f t="shared" si="71"/>
        <v>0</v>
      </c>
      <c r="T98" s="31">
        <f t="shared" si="72"/>
        <v>0</v>
      </c>
      <c r="U98" s="31">
        <f t="shared" si="73"/>
        <v>0</v>
      </c>
      <c r="V98" s="31">
        <f t="shared" si="74"/>
        <v>0</v>
      </c>
      <c r="W98" s="31">
        <f t="shared" si="77"/>
        <v>0</v>
      </c>
      <c r="X98" s="31">
        <f t="shared" si="47"/>
        <v>0</v>
      </c>
      <c r="Y98" s="31">
        <f t="shared" si="81"/>
        <v>0</v>
      </c>
      <c r="Z98" s="31">
        <f t="shared" si="81"/>
        <v>0</v>
      </c>
      <c r="AA98" s="31">
        <f t="shared" si="81"/>
        <v>0</v>
      </c>
      <c r="AB98" s="31">
        <f t="shared" si="81"/>
        <v>0</v>
      </c>
      <c r="AC98" s="31">
        <f t="shared" si="79"/>
        <v>0</v>
      </c>
      <c r="AD98" s="31">
        <f t="shared" si="75"/>
        <v>0</v>
      </c>
      <c r="AE98" s="31">
        <f t="shared" si="48"/>
        <v>0</v>
      </c>
      <c r="AF98" s="31">
        <f t="shared" si="80"/>
        <v>0</v>
      </c>
      <c r="AG98" s="31">
        <f t="shared" si="82"/>
        <v>0</v>
      </c>
      <c r="AH98" s="31">
        <f t="shared" si="82"/>
        <v>0</v>
      </c>
      <c r="AI98" s="31">
        <f t="shared" si="82"/>
        <v>0</v>
      </c>
      <c r="AJ98" s="31">
        <f t="shared" si="82"/>
        <v>0</v>
      </c>
      <c r="AK98" s="31">
        <f t="shared" si="82"/>
        <v>0</v>
      </c>
      <c r="AL98" s="31">
        <f t="shared" si="82"/>
        <v>0</v>
      </c>
      <c r="AM98" s="31">
        <f t="shared" si="82"/>
        <v>0</v>
      </c>
      <c r="AN98" s="31">
        <f t="shared" si="82"/>
        <v>0</v>
      </c>
      <c r="AO98" s="31">
        <f t="shared" si="82"/>
        <v>0</v>
      </c>
      <c r="AP98" s="31">
        <f t="shared" si="82"/>
        <v>0</v>
      </c>
      <c r="AQ98" s="31">
        <f t="shared" si="82"/>
        <v>0</v>
      </c>
      <c r="AR98" s="31">
        <f t="shared" si="82"/>
        <v>0</v>
      </c>
      <c r="AS98" s="31">
        <f t="shared" si="82"/>
        <v>0</v>
      </c>
      <c r="AT98" s="31">
        <f t="shared" si="82"/>
        <v>0</v>
      </c>
      <c r="AU98" s="31">
        <f t="shared" si="82"/>
        <v>0</v>
      </c>
      <c r="AW98" s="22">
        <f t="shared" si="50"/>
        <v>0</v>
      </c>
      <c r="AX98" s="22">
        <f t="shared" si="51"/>
        <v>0</v>
      </c>
      <c r="AY98" s="22">
        <f t="shared" si="52"/>
        <v>0</v>
      </c>
      <c r="AZ98" s="22">
        <f t="shared" si="53"/>
        <v>0</v>
      </c>
      <c r="BA98" s="22">
        <f t="shared" si="54"/>
        <v>0</v>
      </c>
      <c r="BB98" s="22">
        <f t="shared" si="55"/>
        <v>0</v>
      </c>
      <c r="BC98" s="22">
        <f t="shared" si="56"/>
        <v>0</v>
      </c>
      <c r="BD98" s="22">
        <f t="shared" si="57"/>
        <v>0</v>
      </c>
      <c r="BE98" s="22">
        <f t="shared" si="58"/>
        <v>0</v>
      </c>
      <c r="BF98" s="22">
        <f t="shared" si="59"/>
        <v>0</v>
      </c>
      <c r="BG98" s="22">
        <f t="shared" si="60"/>
        <v>0</v>
      </c>
      <c r="BH98" s="22">
        <f t="shared" si="61"/>
        <v>0</v>
      </c>
      <c r="BI98" s="22">
        <f t="shared" si="62"/>
        <v>0</v>
      </c>
      <c r="BJ98" s="22">
        <f t="shared" si="63"/>
        <v>0</v>
      </c>
      <c r="BK98" s="22">
        <f t="shared" si="64"/>
        <v>0</v>
      </c>
      <c r="BL98" s="22">
        <f t="shared" si="65"/>
        <v>0</v>
      </c>
      <c r="BM98" s="22" t="str">
        <f t="shared" si="66"/>
        <v>OK</v>
      </c>
    </row>
    <row r="99" spans="1:65">
      <c r="A99" s="29">
        <f>補助簿!B99</f>
        <v>41110</v>
      </c>
      <c r="B99" s="151">
        <f>命令簿!C102</f>
        <v>0</v>
      </c>
      <c r="C99" t="b">
        <f>VLOOKUP($B99,勤務形態オプション!$A$3:$D$10,C$6,FALSE)</f>
        <v>1</v>
      </c>
      <c r="D99" t="b">
        <f>VLOOKUP($B99,勤務形態オプション!$A$3:$D$10,D$6,FALSE)</f>
        <v>0</v>
      </c>
      <c r="E99" t="b">
        <f>VLOOKUP($B99,勤務形態オプション!$A$3:$D$10,E$6,FALSE)</f>
        <v>0</v>
      </c>
      <c r="F99" s="50">
        <f>補助簿!$E99</f>
        <v>0</v>
      </c>
      <c r="G99" s="50">
        <f>補助簿!$F99</f>
        <v>0</v>
      </c>
      <c r="H99" s="50">
        <f>補助簿!$C99</f>
        <v>0</v>
      </c>
      <c r="I99" s="50">
        <f>補助簿!$D99</f>
        <v>0</v>
      </c>
      <c r="J99" s="58">
        <v>1</v>
      </c>
      <c r="K99" s="50">
        <f>IF(命令簿!D100&lt;&gt;"",命令簿!D100,0)</f>
        <v>0</v>
      </c>
      <c r="L99" s="50">
        <f>IF(命令簿!G100&lt;&gt;"",命令簿!G100,IF(命令簿!F100&lt;&gt;"",命令簿!F100,0))</f>
        <v>0</v>
      </c>
      <c r="M99" s="50">
        <f>IF(命令簿!I100&lt;&gt;"",命令簿!I100,$L99)</f>
        <v>0</v>
      </c>
      <c r="N99" s="50">
        <f>IF(命令簿!I100&lt;&gt;"",命令簿!F100,L99)</f>
        <v>0</v>
      </c>
      <c r="O99" s="50">
        <f t="shared" si="76"/>
        <v>0</v>
      </c>
      <c r="P99" s="355">
        <f>SUM(O99:O101)</f>
        <v>0</v>
      </c>
      <c r="R99" s="31">
        <f t="shared" si="70"/>
        <v>0</v>
      </c>
      <c r="S99" s="31">
        <f t="shared" si="71"/>
        <v>0</v>
      </c>
      <c r="T99" s="31">
        <f t="shared" si="72"/>
        <v>0</v>
      </c>
      <c r="U99" s="31">
        <f t="shared" si="73"/>
        <v>0</v>
      </c>
      <c r="V99" s="31">
        <f t="shared" si="74"/>
        <v>0</v>
      </c>
      <c r="W99" s="31">
        <f t="shared" si="77"/>
        <v>0</v>
      </c>
      <c r="X99" s="31">
        <f t="shared" si="47"/>
        <v>0</v>
      </c>
      <c r="Y99" s="31">
        <f t="shared" si="81"/>
        <v>0</v>
      </c>
      <c r="Z99" s="31">
        <f t="shared" si="81"/>
        <v>0</v>
      </c>
      <c r="AA99" s="31">
        <f t="shared" si="81"/>
        <v>0</v>
      </c>
      <c r="AB99" s="31">
        <f t="shared" si="81"/>
        <v>0</v>
      </c>
      <c r="AC99" s="31">
        <f t="shared" si="79"/>
        <v>0</v>
      </c>
      <c r="AD99" s="31">
        <f t="shared" si="75"/>
        <v>0</v>
      </c>
      <c r="AE99" s="31">
        <f t="shared" si="48"/>
        <v>0</v>
      </c>
      <c r="AF99" s="31">
        <f t="shared" si="80"/>
        <v>0</v>
      </c>
      <c r="AG99" s="31">
        <f t="shared" si="82"/>
        <v>0</v>
      </c>
      <c r="AH99" s="31">
        <f t="shared" si="82"/>
        <v>0</v>
      </c>
      <c r="AI99" s="31">
        <f t="shared" si="82"/>
        <v>0</v>
      </c>
      <c r="AJ99" s="31">
        <f t="shared" si="82"/>
        <v>0</v>
      </c>
      <c r="AK99" s="31">
        <f t="shared" si="82"/>
        <v>0</v>
      </c>
      <c r="AL99" s="31">
        <f t="shared" si="82"/>
        <v>0</v>
      </c>
      <c r="AM99" s="31">
        <f t="shared" si="82"/>
        <v>0</v>
      </c>
      <c r="AN99" s="31">
        <f t="shared" si="82"/>
        <v>0</v>
      </c>
      <c r="AO99" s="31">
        <f t="shared" si="82"/>
        <v>0</v>
      </c>
      <c r="AP99" s="31">
        <f t="shared" si="82"/>
        <v>0</v>
      </c>
      <c r="AQ99" s="31">
        <f t="shared" si="82"/>
        <v>0</v>
      </c>
      <c r="AR99" s="31">
        <f t="shared" si="82"/>
        <v>0</v>
      </c>
      <c r="AS99" s="31">
        <f t="shared" si="82"/>
        <v>0</v>
      </c>
      <c r="AT99" s="31">
        <f t="shared" si="82"/>
        <v>0</v>
      </c>
      <c r="AU99" s="31">
        <f t="shared" si="82"/>
        <v>0</v>
      </c>
      <c r="AW99" s="22">
        <f t="shared" si="50"/>
        <v>0</v>
      </c>
      <c r="AX99" s="22">
        <f t="shared" si="51"/>
        <v>0</v>
      </c>
      <c r="AY99" s="22">
        <f t="shared" si="52"/>
        <v>0</v>
      </c>
      <c r="AZ99" s="22">
        <f t="shared" si="53"/>
        <v>0</v>
      </c>
      <c r="BA99" s="22">
        <f t="shared" si="54"/>
        <v>0</v>
      </c>
      <c r="BB99" s="22">
        <f t="shared" si="55"/>
        <v>0</v>
      </c>
      <c r="BC99" s="22">
        <f t="shared" si="56"/>
        <v>0</v>
      </c>
      <c r="BD99" s="22">
        <f t="shared" si="57"/>
        <v>0</v>
      </c>
      <c r="BE99" s="22">
        <f t="shared" si="58"/>
        <v>0</v>
      </c>
      <c r="BF99" s="22">
        <f t="shared" si="59"/>
        <v>0</v>
      </c>
      <c r="BG99" s="22">
        <f t="shared" si="60"/>
        <v>0</v>
      </c>
      <c r="BH99" s="22">
        <f t="shared" si="61"/>
        <v>0</v>
      </c>
      <c r="BI99" s="22">
        <f t="shared" si="62"/>
        <v>0</v>
      </c>
      <c r="BJ99" s="22">
        <f t="shared" si="63"/>
        <v>0</v>
      </c>
      <c r="BK99" s="22">
        <f t="shared" si="64"/>
        <v>0</v>
      </c>
      <c r="BL99" s="22">
        <f t="shared" si="65"/>
        <v>0</v>
      </c>
      <c r="BM99" s="22" t="str">
        <f t="shared" si="66"/>
        <v>OK</v>
      </c>
    </row>
    <row r="100" spans="1:65">
      <c r="A100" s="29">
        <f>A99</f>
        <v>41110</v>
      </c>
      <c r="B100">
        <f>B99</f>
        <v>0</v>
      </c>
      <c r="C100" t="b">
        <f>VLOOKUP($B100,勤務形態オプション!$A$3:$D$10,C$6,FALSE)</f>
        <v>1</v>
      </c>
      <c r="D100" t="b">
        <f>VLOOKUP($B100,勤務形態オプション!$A$3:$D$10,D$6,FALSE)</f>
        <v>0</v>
      </c>
      <c r="E100" t="b">
        <f>VLOOKUP($B100,勤務形態オプション!$A$3:$D$10,E$6,FALSE)</f>
        <v>0</v>
      </c>
      <c r="F100" s="50">
        <f>F99</f>
        <v>0</v>
      </c>
      <c r="G100" s="50">
        <f>G99</f>
        <v>0</v>
      </c>
      <c r="H100" s="50">
        <f>H99</f>
        <v>0</v>
      </c>
      <c r="I100" s="50">
        <f>I99</f>
        <v>0</v>
      </c>
      <c r="J100" s="58">
        <v>2</v>
      </c>
      <c r="K100" s="50">
        <f>IF(命令簿!D101&lt;&gt;"",命令簿!D101,0)</f>
        <v>0</v>
      </c>
      <c r="L100" s="50">
        <f>IF(命令簿!G101&lt;&gt;"",命令簿!G101,IF(命令簿!F101&lt;&gt;"",命令簿!F101,0))</f>
        <v>0</v>
      </c>
      <c r="M100" s="50">
        <f>IF(命令簿!I101&lt;&gt;"",命令簿!I101,$L100)</f>
        <v>0</v>
      </c>
      <c r="N100" s="50">
        <f>IF(命令簿!I101&lt;&gt;"",命令簿!F101,L100)</f>
        <v>0</v>
      </c>
      <c r="O100" s="50">
        <f t="shared" si="76"/>
        <v>0</v>
      </c>
      <c r="P100" s="355"/>
      <c r="R100" s="31">
        <f t="shared" si="70"/>
        <v>0</v>
      </c>
      <c r="S100" s="31">
        <f t="shared" si="71"/>
        <v>0</v>
      </c>
      <c r="T100" s="31">
        <f t="shared" si="72"/>
        <v>0</v>
      </c>
      <c r="U100" s="31">
        <f t="shared" si="73"/>
        <v>0</v>
      </c>
      <c r="V100" s="31">
        <f t="shared" si="74"/>
        <v>0</v>
      </c>
      <c r="W100" s="31">
        <f t="shared" si="77"/>
        <v>0</v>
      </c>
      <c r="X100" s="31">
        <f t="shared" si="47"/>
        <v>0</v>
      </c>
      <c r="Y100" s="31">
        <f t="shared" si="81"/>
        <v>0</v>
      </c>
      <c r="Z100" s="31">
        <f t="shared" si="81"/>
        <v>0</v>
      </c>
      <c r="AA100" s="31">
        <f t="shared" si="81"/>
        <v>0</v>
      </c>
      <c r="AB100" s="31">
        <f t="shared" si="81"/>
        <v>0</v>
      </c>
      <c r="AC100" s="31">
        <f t="shared" si="79"/>
        <v>0</v>
      </c>
      <c r="AD100" s="31">
        <f t="shared" si="75"/>
        <v>0</v>
      </c>
      <c r="AE100" s="31">
        <f t="shared" si="48"/>
        <v>0</v>
      </c>
      <c r="AF100" s="31">
        <f t="shared" si="80"/>
        <v>0</v>
      </c>
      <c r="AG100" s="31">
        <f t="shared" si="82"/>
        <v>0</v>
      </c>
      <c r="AH100" s="31">
        <f t="shared" si="82"/>
        <v>0</v>
      </c>
      <c r="AI100" s="31">
        <f t="shared" si="82"/>
        <v>0</v>
      </c>
      <c r="AJ100" s="31">
        <f t="shared" si="82"/>
        <v>0</v>
      </c>
      <c r="AK100" s="31">
        <f t="shared" si="82"/>
        <v>0</v>
      </c>
      <c r="AL100" s="31">
        <f t="shared" si="82"/>
        <v>0</v>
      </c>
      <c r="AM100" s="31">
        <f t="shared" si="82"/>
        <v>0</v>
      </c>
      <c r="AN100" s="31">
        <f t="shared" si="82"/>
        <v>0</v>
      </c>
      <c r="AO100" s="31">
        <f t="shared" si="82"/>
        <v>0</v>
      </c>
      <c r="AP100" s="31">
        <f t="shared" si="82"/>
        <v>0</v>
      </c>
      <c r="AQ100" s="31">
        <f t="shared" si="82"/>
        <v>0</v>
      </c>
      <c r="AR100" s="31">
        <f t="shared" si="82"/>
        <v>0</v>
      </c>
      <c r="AS100" s="31">
        <f t="shared" si="82"/>
        <v>0</v>
      </c>
      <c r="AT100" s="31">
        <f t="shared" si="82"/>
        <v>0</v>
      </c>
      <c r="AU100" s="31">
        <f t="shared" si="82"/>
        <v>0</v>
      </c>
      <c r="AW100" s="22">
        <f t="shared" si="50"/>
        <v>0</v>
      </c>
      <c r="AX100" s="22">
        <f t="shared" si="51"/>
        <v>0</v>
      </c>
      <c r="AY100" s="22">
        <f t="shared" si="52"/>
        <v>0</v>
      </c>
      <c r="AZ100" s="22">
        <f t="shared" si="53"/>
        <v>0</v>
      </c>
      <c r="BA100" s="22">
        <f t="shared" si="54"/>
        <v>0</v>
      </c>
      <c r="BB100" s="22">
        <f t="shared" si="55"/>
        <v>0</v>
      </c>
      <c r="BC100" s="22">
        <f t="shared" si="56"/>
        <v>0</v>
      </c>
      <c r="BD100" s="22">
        <f t="shared" si="57"/>
        <v>0</v>
      </c>
      <c r="BE100" s="22">
        <f t="shared" si="58"/>
        <v>0</v>
      </c>
      <c r="BF100" s="22">
        <f t="shared" si="59"/>
        <v>0</v>
      </c>
      <c r="BG100" s="22">
        <f t="shared" si="60"/>
        <v>0</v>
      </c>
      <c r="BH100" s="22">
        <f t="shared" si="61"/>
        <v>0</v>
      </c>
      <c r="BI100" s="22">
        <f t="shared" si="62"/>
        <v>0</v>
      </c>
      <c r="BJ100" s="22">
        <f t="shared" si="63"/>
        <v>0</v>
      </c>
      <c r="BK100" s="22">
        <f t="shared" si="64"/>
        <v>0</v>
      </c>
      <c r="BL100" s="22">
        <f t="shared" si="65"/>
        <v>0</v>
      </c>
      <c r="BM100" s="22" t="str">
        <f t="shared" si="66"/>
        <v>OK</v>
      </c>
    </row>
    <row r="101" spans="1:65">
      <c r="A101" s="29">
        <f>A100</f>
        <v>41110</v>
      </c>
      <c r="B101">
        <f>B100</f>
        <v>0</v>
      </c>
      <c r="C101" t="b">
        <f>VLOOKUP($B101,勤務形態オプション!$A$3:$D$10,C$6,FALSE)</f>
        <v>1</v>
      </c>
      <c r="D101" t="b">
        <f>VLOOKUP($B101,勤務形態オプション!$A$3:$D$10,D$6,FALSE)</f>
        <v>0</v>
      </c>
      <c r="E101" t="b">
        <f>VLOOKUP($B101,勤務形態オプション!$A$3:$D$10,E$6,FALSE)</f>
        <v>0</v>
      </c>
      <c r="F101" s="50">
        <f>F99</f>
        <v>0</v>
      </c>
      <c r="G101" s="50">
        <f>G99</f>
        <v>0</v>
      </c>
      <c r="H101" s="50">
        <f>H99</f>
        <v>0</v>
      </c>
      <c r="I101" s="50">
        <f>I99</f>
        <v>0</v>
      </c>
      <c r="J101" s="58">
        <v>3</v>
      </c>
      <c r="K101" s="50">
        <f>IF(命令簿!D102&lt;&gt;"",命令簿!D102,0)</f>
        <v>0</v>
      </c>
      <c r="L101" s="50">
        <f>IF(命令簿!G102&lt;&gt;"",命令簿!G102,IF(命令簿!F102&lt;&gt;"",命令簿!F102,0))</f>
        <v>0</v>
      </c>
      <c r="M101" s="50">
        <f>IF(命令簿!I102&lt;&gt;"",命令簿!I102,$L101)</f>
        <v>0</v>
      </c>
      <c r="N101" s="50">
        <f>IF(命令簿!I102&lt;&gt;"",命令簿!F102,L101)</f>
        <v>0</v>
      </c>
      <c r="O101" s="50">
        <f t="shared" si="76"/>
        <v>0</v>
      </c>
      <c r="P101" s="355"/>
      <c r="R101" s="31">
        <f t="shared" si="70"/>
        <v>0</v>
      </c>
      <c r="S101" s="31">
        <f t="shared" si="71"/>
        <v>0</v>
      </c>
      <c r="T101" s="31">
        <f t="shared" si="72"/>
        <v>0</v>
      </c>
      <c r="U101" s="31">
        <f t="shared" si="73"/>
        <v>0</v>
      </c>
      <c r="V101" s="31">
        <f t="shared" si="74"/>
        <v>0</v>
      </c>
      <c r="W101" s="31">
        <f t="shared" si="77"/>
        <v>0</v>
      </c>
      <c r="X101" s="31">
        <f t="shared" si="47"/>
        <v>0</v>
      </c>
      <c r="Y101" s="31">
        <f t="shared" si="81"/>
        <v>0</v>
      </c>
      <c r="Z101" s="31">
        <f t="shared" si="81"/>
        <v>0</v>
      </c>
      <c r="AA101" s="31">
        <f t="shared" si="81"/>
        <v>0</v>
      </c>
      <c r="AB101" s="31">
        <f t="shared" si="81"/>
        <v>0</v>
      </c>
      <c r="AC101" s="31">
        <f t="shared" si="79"/>
        <v>0</v>
      </c>
      <c r="AD101" s="31">
        <f t="shared" si="75"/>
        <v>0</v>
      </c>
      <c r="AE101" s="31">
        <f t="shared" si="48"/>
        <v>0</v>
      </c>
      <c r="AF101" s="31">
        <f t="shared" si="80"/>
        <v>0</v>
      </c>
      <c r="AG101" s="31">
        <f t="shared" si="82"/>
        <v>0</v>
      </c>
      <c r="AH101" s="31">
        <f t="shared" si="82"/>
        <v>0</v>
      </c>
      <c r="AI101" s="31">
        <f t="shared" si="82"/>
        <v>0</v>
      </c>
      <c r="AJ101" s="31">
        <f t="shared" si="82"/>
        <v>0</v>
      </c>
      <c r="AK101" s="31">
        <f t="shared" si="82"/>
        <v>0</v>
      </c>
      <c r="AL101" s="31">
        <f t="shared" si="82"/>
        <v>0</v>
      </c>
      <c r="AM101" s="31">
        <f t="shared" si="82"/>
        <v>0</v>
      </c>
      <c r="AN101" s="31">
        <f t="shared" si="82"/>
        <v>0</v>
      </c>
      <c r="AO101" s="31">
        <f t="shared" si="82"/>
        <v>0</v>
      </c>
      <c r="AP101" s="31">
        <f t="shared" si="82"/>
        <v>0</v>
      </c>
      <c r="AQ101" s="31">
        <f t="shared" si="82"/>
        <v>0</v>
      </c>
      <c r="AR101" s="31">
        <f t="shared" si="82"/>
        <v>0</v>
      </c>
      <c r="AS101" s="31">
        <f t="shared" si="82"/>
        <v>0</v>
      </c>
      <c r="AT101" s="31">
        <f t="shared" si="82"/>
        <v>0</v>
      </c>
      <c r="AU101" s="31">
        <f t="shared" si="82"/>
        <v>0</v>
      </c>
      <c r="AW101" s="22">
        <f t="shared" si="50"/>
        <v>0</v>
      </c>
      <c r="AX101" s="22">
        <f t="shared" si="51"/>
        <v>0</v>
      </c>
      <c r="AY101" s="22">
        <f t="shared" si="52"/>
        <v>0</v>
      </c>
      <c r="AZ101" s="22">
        <f t="shared" si="53"/>
        <v>0</v>
      </c>
      <c r="BA101" s="22">
        <f t="shared" si="54"/>
        <v>0</v>
      </c>
      <c r="BB101" s="22">
        <f t="shared" si="55"/>
        <v>0</v>
      </c>
      <c r="BC101" s="22">
        <f t="shared" si="56"/>
        <v>0</v>
      </c>
      <c r="BD101" s="22">
        <f t="shared" si="57"/>
        <v>0</v>
      </c>
      <c r="BE101" s="22">
        <f t="shared" si="58"/>
        <v>0</v>
      </c>
      <c r="BF101" s="22">
        <f t="shared" si="59"/>
        <v>0</v>
      </c>
      <c r="BG101" s="22">
        <f t="shared" si="60"/>
        <v>0</v>
      </c>
      <c r="BH101" s="22">
        <f t="shared" si="61"/>
        <v>0</v>
      </c>
      <c r="BI101" s="22">
        <f t="shared" si="62"/>
        <v>0</v>
      </c>
      <c r="BJ101" s="22">
        <f t="shared" si="63"/>
        <v>0</v>
      </c>
      <c r="BK101" s="22">
        <f t="shared" si="64"/>
        <v>0</v>
      </c>
      <c r="BL101" s="22">
        <f t="shared" si="65"/>
        <v>0</v>
      </c>
      <c r="BM101" s="22" t="str">
        <f t="shared" si="66"/>
        <v>OK</v>
      </c>
    </row>
    <row r="102" spans="1:65">
      <c r="A102" s="29"/>
      <c r="B102" s="29"/>
      <c r="C102" s="29"/>
      <c r="D102" s="29"/>
      <c r="E102" s="29"/>
      <c r="F102" s="29"/>
      <c r="G102" s="29"/>
      <c r="H102" s="29"/>
      <c r="I102" s="29"/>
    </row>
    <row r="103" spans="1:65">
      <c r="A103" s="29"/>
      <c r="B103" s="29"/>
      <c r="C103" s="29"/>
      <c r="D103" s="29"/>
      <c r="E103" s="29"/>
      <c r="F103" s="29"/>
      <c r="G103" s="29"/>
      <c r="H103" s="29"/>
      <c r="I103" s="29"/>
    </row>
    <row r="104" spans="1:65">
      <c r="A104" s="29"/>
      <c r="B104" s="29"/>
      <c r="C104" s="29"/>
      <c r="D104" s="29"/>
      <c r="E104" s="29"/>
      <c r="F104" s="29"/>
      <c r="G104" s="29"/>
      <c r="H104" s="29"/>
      <c r="I104" s="29"/>
    </row>
    <row r="105" spans="1:65">
      <c r="A105" s="29"/>
      <c r="B105" s="29"/>
      <c r="C105" s="29"/>
      <c r="D105" s="29"/>
      <c r="E105" s="29"/>
      <c r="F105" s="29"/>
      <c r="G105" s="29"/>
      <c r="H105" s="29"/>
      <c r="I105" s="29"/>
    </row>
  </sheetData>
  <mergeCells count="47">
    <mergeCell ref="AC6:AF6"/>
    <mergeCell ref="V6:W7"/>
    <mergeCell ref="BB7:BC7"/>
    <mergeCell ref="R6:U6"/>
    <mergeCell ref="S7:T7"/>
    <mergeCell ref="Y6:AB6"/>
    <mergeCell ref="AX7:AY7"/>
    <mergeCell ref="BF7:BG7"/>
    <mergeCell ref="BH7:BI7"/>
    <mergeCell ref="F7:G7"/>
    <mergeCell ref="AP7:AQ7"/>
    <mergeCell ref="AJ7:AK7"/>
    <mergeCell ref="AL7:AM7"/>
    <mergeCell ref="AH7:AI7"/>
    <mergeCell ref="AR7:AS7"/>
    <mergeCell ref="AZ7:BA7"/>
    <mergeCell ref="P21:P23"/>
    <mergeCell ref="P24:P26"/>
    <mergeCell ref="P27:P29"/>
    <mergeCell ref="P30:P32"/>
    <mergeCell ref="P9:P11"/>
    <mergeCell ref="P12:P14"/>
    <mergeCell ref="P15:P17"/>
    <mergeCell ref="P18:P20"/>
    <mergeCell ref="P45:P47"/>
    <mergeCell ref="P48:P50"/>
    <mergeCell ref="P51:P53"/>
    <mergeCell ref="P54:P56"/>
    <mergeCell ref="P33:P35"/>
    <mergeCell ref="P36:P38"/>
    <mergeCell ref="P39:P41"/>
    <mergeCell ref="P42:P44"/>
    <mergeCell ref="P69:P71"/>
    <mergeCell ref="P72:P74"/>
    <mergeCell ref="P75:P77"/>
    <mergeCell ref="P78:P80"/>
    <mergeCell ref="P57:P59"/>
    <mergeCell ref="P60:P62"/>
    <mergeCell ref="P63:P65"/>
    <mergeCell ref="P66:P68"/>
    <mergeCell ref="P99:P101"/>
    <mergeCell ref="P81:P83"/>
    <mergeCell ref="P84:P86"/>
    <mergeCell ref="P87:P89"/>
    <mergeCell ref="P90:P92"/>
    <mergeCell ref="P93:P95"/>
    <mergeCell ref="P96:P98"/>
  </mergeCells>
  <phoneticPr fontId="2"/>
  <conditionalFormatting sqref="C9:E101">
    <cfRule type="cellIs" dxfId="2" priority="10" stopIfTrue="1" operator="equal">
      <formula>TRUE</formula>
    </cfRule>
  </conditionalFormatting>
  <conditionalFormatting sqref="AW9:BK101 BM9:BM101">
    <cfRule type="cellIs" dxfId="1" priority="8" stopIfTrue="1" operator="equal">
      <formula>"NG"</formula>
    </cfRule>
  </conditionalFormatting>
  <conditionalFormatting sqref="R9:AU101 F9:I101 K9:P101">
    <cfRule type="cellIs" dxfId="0" priority="6" stopIfTrue="1" operator="greaterThan">
      <formula>0</formula>
    </cfRule>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tabColor rgb="FFFFFF00"/>
  </sheetPr>
  <dimension ref="A1:F142"/>
  <sheetViews>
    <sheetView view="pageBreakPreview" topLeftCell="A52" zoomScaleNormal="100" zoomScaleSheetLayoutView="100" workbookViewId="0">
      <selection activeCell="I115" sqref="I115"/>
    </sheetView>
  </sheetViews>
  <sheetFormatPr baseColWidth="10" defaultColWidth="8.83203125" defaultRowHeight="14"/>
  <cols>
    <col min="1" max="1" width="2.33203125" customWidth="1"/>
    <col min="11" max="11" width="14.83203125" customWidth="1"/>
  </cols>
  <sheetData>
    <row r="1" spans="1:6" ht="15" thickBot="1">
      <c r="A1" s="370" t="s">
        <v>185</v>
      </c>
      <c r="B1" s="371"/>
      <c r="C1" s="372"/>
    </row>
    <row r="3" spans="1:6">
      <c r="A3" s="60" t="s">
        <v>112</v>
      </c>
    </row>
    <row r="5" spans="1:6">
      <c r="B5" t="s">
        <v>113</v>
      </c>
      <c r="D5" t="s">
        <v>127</v>
      </c>
    </row>
    <row r="6" spans="1:6">
      <c r="B6" t="s">
        <v>169</v>
      </c>
      <c r="D6" t="s">
        <v>159</v>
      </c>
    </row>
    <row r="7" spans="1:6">
      <c r="B7" t="s">
        <v>160</v>
      </c>
      <c r="D7" t="s">
        <v>115</v>
      </c>
    </row>
    <row r="8" spans="1:6">
      <c r="B8" t="s">
        <v>114</v>
      </c>
      <c r="D8" t="s">
        <v>116</v>
      </c>
    </row>
    <row r="11" spans="1:6">
      <c r="A11" s="60" t="s">
        <v>182</v>
      </c>
    </row>
    <row r="12" spans="1:6">
      <c r="A12" s="60" t="s">
        <v>197</v>
      </c>
    </row>
    <row r="15" spans="1:6">
      <c r="B15" s="61"/>
      <c r="C15" s="369"/>
      <c r="D15" s="369"/>
      <c r="E15" s="156"/>
      <c r="F15" s="106"/>
    </row>
    <row r="16" spans="1:6" ht="19">
      <c r="B16" s="222"/>
      <c r="C16" s="80"/>
      <c r="D16" s="222"/>
      <c r="E16" s="222"/>
      <c r="F16" s="223"/>
    </row>
    <row r="36" spans="1:4">
      <c r="A36" s="60" t="s">
        <v>117</v>
      </c>
    </row>
    <row r="37" spans="1:4">
      <c r="A37" s="60" t="s">
        <v>181</v>
      </c>
    </row>
    <row r="38" spans="1:4">
      <c r="A38" s="225" t="s">
        <v>183</v>
      </c>
    </row>
    <row r="39" spans="1:4">
      <c r="B39" t="s">
        <v>179</v>
      </c>
    </row>
    <row r="40" spans="1:4">
      <c r="B40" t="s">
        <v>83</v>
      </c>
      <c r="C40" t="s">
        <v>118</v>
      </c>
      <c r="D40" t="s">
        <v>119</v>
      </c>
    </row>
    <row r="41" spans="1:4">
      <c r="B41" t="s">
        <v>84</v>
      </c>
      <c r="C41" t="s">
        <v>118</v>
      </c>
      <c r="D41" t="s">
        <v>177</v>
      </c>
    </row>
    <row r="42" spans="1:4">
      <c r="B42" t="s">
        <v>85</v>
      </c>
      <c r="C42" t="s">
        <v>118</v>
      </c>
      <c r="D42" t="s">
        <v>178</v>
      </c>
    </row>
    <row r="43" spans="1:4">
      <c r="B43" t="s">
        <v>86</v>
      </c>
      <c r="C43" t="s">
        <v>118</v>
      </c>
      <c r="D43" t="s">
        <v>120</v>
      </c>
    </row>
    <row r="44" spans="1:4">
      <c r="B44" t="s">
        <v>87</v>
      </c>
      <c r="C44" t="s">
        <v>118</v>
      </c>
      <c r="D44" t="s">
        <v>188</v>
      </c>
    </row>
    <row r="45" spans="1:4">
      <c r="B45" t="s">
        <v>88</v>
      </c>
      <c r="C45" t="s">
        <v>118</v>
      </c>
      <c r="D45" t="s">
        <v>190</v>
      </c>
    </row>
    <row r="46" spans="1:4">
      <c r="B46" t="s">
        <v>170</v>
      </c>
      <c r="C46" t="s">
        <v>118</v>
      </c>
      <c r="D46" t="s">
        <v>189</v>
      </c>
    </row>
    <row r="47" spans="1:4">
      <c r="B47" t="s">
        <v>122</v>
      </c>
      <c r="C47" t="s">
        <v>118</v>
      </c>
      <c r="D47" t="s">
        <v>123</v>
      </c>
    </row>
    <row r="71" spans="1:1">
      <c r="A71" s="60" t="s">
        <v>180</v>
      </c>
    </row>
    <row r="98" spans="1:2">
      <c r="B98" t="s">
        <v>195</v>
      </c>
    </row>
    <row r="99" spans="1:2">
      <c r="B99" t="s">
        <v>196</v>
      </c>
    </row>
    <row r="102" spans="1:2">
      <c r="A102" s="60" t="s">
        <v>124</v>
      </c>
    </row>
    <row r="103" spans="1:2">
      <c r="B103" t="s">
        <v>125</v>
      </c>
    </row>
    <row r="114" spans="1:2">
      <c r="A114" s="60" t="s">
        <v>204</v>
      </c>
    </row>
    <row r="115" spans="1:2">
      <c r="B115" s="60" t="s">
        <v>205</v>
      </c>
    </row>
    <row r="116" spans="1:2">
      <c r="B116" s="261" t="s">
        <v>203</v>
      </c>
    </row>
    <row r="141" spans="1:2">
      <c r="A141" s="224" t="s">
        <v>201</v>
      </c>
    </row>
    <row r="142" spans="1:2">
      <c r="B142" t="s">
        <v>202</v>
      </c>
    </row>
  </sheetData>
  <sheetProtection sheet="1" objects="1" scenarios="1"/>
  <mergeCells count="2">
    <mergeCell ref="C15:D15"/>
    <mergeCell ref="A1:C1"/>
  </mergeCells>
  <phoneticPr fontId="2"/>
  <pageMargins left="0.47244094488188981" right="3.937007874015748E-2" top="0.55118110236220474" bottom="0.55118110236220474" header="0.31496062992125984" footer="0.31496062992125984"/>
  <pageSetup paperSize="9" scale="88" orientation="portrait" r:id="rId1"/>
  <rowBreaks count="2" manualBreakCount="2">
    <brk id="68" max="10" man="1"/>
    <brk id="138" max="10" man="1"/>
  </rowBreaks>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7</vt:i4>
      </vt:variant>
      <vt:variant>
        <vt:lpstr>名前付き一覧</vt:lpstr>
      </vt:variant>
      <vt:variant>
        <vt:i4>8</vt:i4>
      </vt:variant>
    </vt:vector>
  </HeadingPairs>
  <TitlesOfParts>
    <vt:vector size="15" baseType="lpstr">
      <vt:lpstr>使用方法</vt:lpstr>
      <vt:lpstr>補助簿</vt:lpstr>
      <vt:lpstr>命令簿</vt:lpstr>
      <vt:lpstr>雇用形態オプション</vt:lpstr>
      <vt:lpstr>勤務形態オプション</vt:lpstr>
      <vt:lpstr>処理用</vt:lpstr>
      <vt:lpstr>入力時の注意</vt:lpstr>
      <vt:lpstr>入力時の注意!Print_Area</vt:lpstr>
      <vt:lpstr>補助簿!Print_Area</vt:lpstr>
      <vt:lpstr>命令簿!Print_Area</vt:lpstr>
      <vt:lpstr>補助簿!Print_Titles</vt:lpstr>
      <vt:lpstr>命令簿!Print_Titles</vt:lpstr>
      <vt:lpstr>開始</vt:lpstr>
      <vt:lpstr>休日</vt:lpstr>
      <vt:lpstr>終了</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こども病院12</dc:creator>
  <cp:lastModifiedBy>中野謙</cp:lastModifiedBy>
  <cp:lastPrinted>2024-09-09T06:51:32Z</cp:lastPrinted>
  <dcterms:created xsi:type="dcterms:W3CDTF">2000-04-15T03:52:08Z</dcterms:created>
  <dcterms:modified xsi:type="dcterms:W3CDTF">2026-05-20T10:15:44Z</dcterms:modified>
</cp:coreProperties>
</file>